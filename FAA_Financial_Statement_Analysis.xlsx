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Rahul Soni\Downloads\"/>
    </mc:Choice>
  </mc:AlternateContent>
  <xr:revisionPtr revIDLastSave="0" documentId="13_ncr:1_{9A2B3256-3145-461D-92AB-3DEDC8CC0EF7}" xr6:coauthVersionLast="47" xr6:coauthVersionMax="47" xr10:uidLastSave="{00000000-0000-0000-0000-000000000000}"/>
  <bookViews>
    <workbookView xWindow="-110" yWindow="-110" windowWidth="19420" windowHeight="10300" firstSheet="4" activeTab="4" xr2:uid="{00000000-000D-0000-FFFF-FFFF00000000}"/>
  </bookViews>
  <sheets>
    <sheet name="Cover Page" sheetId="1" r:id="rId1"/>
    <sheet name="Berger" sheetId="2" r:id="rId2"/>
    <sheet name="Kansai Nerolac" sheetId="3" r:id="rId3"/>
    <sheet name="Asian Paints" sheetId="4" r:id="rId4"/>
    <sheet name="JSW Dulux" sheetId="5" r:id="rId5"/>
    <sheet name="Indigo Paints" sheetId="6" r:id="rId6"/>
    <sheet name="Industry Summary" sheetId="7" r:id="rId7"/>
  </sheets>
  <definedNames>
    <definedName name="_xlnm.Print_Area" localSheetId="3">'Asian Paints'!$A$1:$L$285</definedName>
    <definedName name="_xlnm.Print_Area" localSheetId="1">Berger!$A$1:$L$351</definedName>
    <definedName name="_xlnm.Print_Area" localSheetId="0">'Cover Page'!$A$1:$G$27</definedName>
    <definedName name="_xlnm.Print_Area" localSheetId="5">'Indigo Paints'!$A$1:$L$286</definedName>
    <definedName name="_xlnm.Print_Area" localSheetId="6">'Industry Summary'!$A$1:$T$208</definedName>
    <definedName name="_xlnm.Print_Area" localSheetId="4">'JSW Dulux'!$A$1:$L$286</definedName>
    <definedName name="_xlnm.Print_Area" localSheetId="2">'Kansai Nerolac'!$A$1:$L$286</definedName>
    <definedName name="_xlnm.Print_Titles" localSheetId="3">'Asian Paints'!$1:$2</definedName>
    <definedName name="_xlnm.Print_Titles" localSheetId="1">Berger!$1:$2</definedName>
    <definedName name="_xlnm.Print_Titles" localSheetId="5">'Indigo Paints'!$1:$2</definedName>
    <definedName name="_xlnm.Print_Titles" localSheetId="6">'Industry Summary'!$1:$2</definedName>
    <definedName name="_xlnm.Print_Titles" localSheetId="4">'JSW Dulux'!$1:$2</definedName>
    <definedName name="_xlnm.Print_Titles" localSheetId="2">'Kansai Nerolac'!$1:$2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9" i="7" l="1"/>
  <c r="H129" i="7"/>
  <c r="F129" i="7"/>
  <c r="D129" i="7"/>
  <c r="B129" i="7"/>
  <c r="L129" i="7" s="1"/>
  <c r="J128" i="7"/>
  <c r="H128" i="7"/>
  <c r="F128" i="7"/>
  <c r="D128" i="7"/>
  <c r="B128" i="7"/>
  <c r="L128" i="7" s="1"/>
  <c r="J127" i="7"/>
  <c r="H127" i="7"/>
  <c r="F127" i="7"/>
  <c r="D127" i="7"/>
  <c r="B127" i="7"/>
  <c r="J118" i="7"/>
  <c r="H118" i="7"/>
  <c r="F118" i="7"/>
  <c r="D118" i="7"/>
  <c r="B118" i="7"/>
  <c r="L118" i="7" s="1"/>
  <c r="J117" i="7"/>
  <c r="H117" i="7"/>
  <c r="F117" i="7"/>
  <c r="D117" i="7"/>
  <c r="B117" i="7"/>
  <c r="L117" i="7" s="1"/>
  <c r="J116" i="7"/>
  <c r="H116" i="7"/>
  <c r="F116" i="7"/>
  <c r="D116" i="7"/>
  <c r="B116" i="7"/>
  <c r="J108" i="7"/>
  <c r="J131" i="7" s="1"/>
  <c r="H108" i="7"/>
  <c r="H131" i="7" s="1"/>
  <c r="F108" i="7"/>
  <c r="F131" i="7" s="1"/>
  <c r="D108" i="7"/>
  <c r="D131" i="7" s="1"/>
  <c r="B108" i="7"/>
  <c r="J107" i="7"/>
  <c r="J130" i="7" s="1"/>
  <c r="H107" i="7"/>
  <c r="H130" i="7" s="1"/>
  <c r="F107" i="7"/>
  <c r="F130" i="7" s="1"/>
  <c r="D107" i="7"/>
  <c r="D130" i="7" s="1"/>
  <c r="B107" i="7"/>
  <c r="J106" i="7"/>
  <c r="J109" i="7" s="1"/>
  <c r="H106" i="7"/>
  <c r="H109" i="7" s="1"/>
  <c r="F106" i="7"/>
  <c r="F109" i="7" s="1"/>
  <c r="D106" i="7"/>
  <c r="D109" i="7" s="1"/>
  <c r="B106" i="7"/>
  <c r="J101" i="7"/>
  <c r="J120" i="7" s="1"/>
  <c r="H101" i="7"/>
  <c r="H120" i="7" s="1"/>
  <c r="F101" i="7"/>
  <c r="F120" i="7" s="1"/>
  <c r="D101" i="7"/>
  <c r="D120" i="7" s="1"/>
  <c r="B101" i="7"/>
  <c r="J100" i="7"/>
  <c r="J119" i="7" s="1"/>
  <c r="H100" i="7"/>
  <c r="H119" i="7" s="1"/>
  <c r="F100" i="7"/>
  <c r="F119" i="7" s="1"/>
  <c r="D100" i="7"/>
  <c r="D119" i="7" s="1"/>
  <c r="B100" i="7"/>
  <c r="J99" i="7"/>
  <c r="J102" i="7" s="1"/>
  <c r="H99" i="7"/>
  <c r="H102" i="7" s="1"/>
  <c r="F99" i="7"/>
  <c r="F102" i="7" s="1"/>
  <c r="D99" i="7"/>
  <c r="D102" i="7" s="1"/>
  <c r="B99" i="7"/>
  <c r="J81" i="7"/>
  <c r="H81" i="7"/>
  <c r="F81" i="7"/>
  <c r="D81" i="7"/>
  <c r="B81" i="7"/>
  <c r="L81" i="7" s="1"/>
  <c r="J80" i="7"/>
  <c r="H80" i="7"/>
  <c r="F80" i="7"/>
  <c r="D80" i="7"/>
  <c r="B80" i="7"/>
  <c r="L80" i="7" s="1"/>
  <c r="J76" i="7"/>
  <c r="H76" i="7"/>
  <c r="F76" i="7"/>
  <c r="D76" i="7"/>
  <c r="B76" i="7"/>
  <c r="L76" i="7" s="1"/>
  <c r="J75" i="7"/>
  <c r="H75" i="7"/>
  <c r="F75" i="7"/>
  <c r="D75" i="7"/>
  <c r="B75" i="7"/>
  <c r="L75" i="7" s="1"/>
  <c r="J68" i="7"/>
  <c r="H68" i="7"/>
  <c r="F68" i="7"/>
  <c r="D68" i="7"/>
  <c r="B68" i="7"/>
  <c r="L68" i="7" s="1"/>
  <c r="J67" i="7"/>
  <c r="H67" i="7"/>
  <c r="F67" i="7"/>
  <c r="D67" i="7"/>
  <c r="B67" i="7"/>
  <c r="L67" i="7" s="1"/>
  <c r="J66" i="7"/>
  <c r="H66" i="7"/>
  <c r="F66" i="7"/>
  <c r="D66" i="7"/>
  <c r="B66" i="7"/>
  <c r="L66" i="7" s="1"/>
  <c r="J65" i="7"/>
  <c r="J133" i="7" s="1"/>
  <c r="H65" i="7"/>
  <c r="H133" i="7" s="1"/>
  <c r="F65" i="7"/>
  <c r="F133" i="7" s="1"/>
  <c r="D65" i="7"/>
  <c r="D133" i="7" s="1"/>
  <c r="B65" i="7"/>
  <c r="J64" i="7"/>
  <c r="H64" i="7"/>
  <c r="F64" i="7"/>
  <c r="D64" i="7"/>
  <c r="B64" i="7"/>
  <c r="L64" i="7" s="1"/>
  <c r="J63" i="7"/>
  <c r="H63" i="7"/>
  <c r="F63" i="7"/>
  <c r="D63" i="7"/>
  <c r="B63" i="7"/>
  <c r="L63" i="7" s="1"/>
  <c r="J62" i="7"/>
  <c r="H62" i="7"/>
  <c r="F62" i="7"/>
  <c r="D62" i="7"/>
  <c r="B62" i="7"/>
  <c r="L62" i="7" s="1"/>
  <c r="J61" i="7"/>
  <c r="H61" i="7"/>
  <c r="F61" i="7"/>
  <c r="D61" i="7"/>
  <c r="B61" i="7"/>
  <c r="L61" i="7" s="1"/>
  <c r="J60" i="7"/>
  <c r="H60" i="7"/>
  <c r="F60" i="7"/>
  <c r="D60" i="7"/>
  <c r="B60" i="7"/>
  <c r="L60" i="7" s="1"/>
  <c r="J56" i="7"/>
  <c r="H56" i="7"/>
  <c r="F56" i="7"/>
  <c r="D56" i="7"/>
  <c r="B56" i="7"/>
  <c r="L56" i="7" s="1"/>
  <c r="J55" i="7"/>
  <c r="H55" i="7"/>
  <c r="F55" i="7"/>
  <c r="D55" i="7"/>
  <c r="B55" i="7"/>
  <c r="L55" i="7" s="1"/>
  <c r="J54" i="7"/>
  <c r="H54" i="7"/>
  <c r="F54" i="7"/>
  <c r="D54" i="7"/>
  <c r="B54" i="7"/>
  <c r="L54" i="7" s="1"/>
  <c r="J53" i="7"/>
  <c r="J122" i="7" s="1"/>
  <c r="H53" i="7"/>
  <c r="H122" i="7" s="1"/>
  <c r="F53" i="7"/>
  <c r="F122" i="7" s="1"/>
  <c r="D53" i="7"/>
  <c r="D122" i="7" s="1"/>
  <c r="B53" i="7"/>
  <c r="J52" i="7"/>
  <c r="H52" i="7"/>
  <c r="F52" i="7"/>
  <c r="D52" i="7"/>
  <c r="B52" i="7"/>
  <c r="L52" i="7" s="1"/>
  <c r="J51" i="7"/>
  <c r="H51" i="7"/>
  <c r="F51" i="7"/>
  <c r="D51" i="7"/>
  <c r="B51" i="7"/>
  <c r="L51" i="7" s="1"/>
  <c r="J50" i="7"/>
  <c r="H50" i="7"/>
  <c r="F50" i="7"/>
  <c r="D50" i="7"/>
  <c r="B50" i="7"/>
  <c r="L50" i="7" s="1"/>
  <c r="J49" i="7"/>
  <c r="H49" i="7"/>
  <c r="F49" i="7"/>
  <c r="D49" i="7"/>
  <c r="B49" i="7"/>
  <c r="L49" i="7" s="1"/>
  <c r="J48" i="7"/>
  <c r="H48" i="7"/>
  <c r="F48" i="7"/>
  <c r="D48" i="7"/>
  <c r="B48" i="7"/>
  <c r="L48" i="7" s="1"/>
  <c r="D284" i="6"/>
  <c r="C284" i="6"/>
  <c r="E284" i="6" s="1"/>
  <c r="D283" i="6"/>
  <c r="C283" i="6"/>
  <c r="E283" i="6" s="1"/>
  <c r="D282" i="6"/>
  <c r="C282" i="6"/>
  <c r="E282" i="6" s="1"/>
  <c r="D281" i="6"/>
  <c r="C281" i="6"/>
  <c r="E281" i="6" s="1"/>
  <c r="D280" i="6"/>
  <c r="C280" i="6"/>
  <c r="E280" i="6" s="1"/>
  <c r="D279" i="6"/>
  <c r="C279" i="6"/>
  <c r="E279" i="6" s="1"/>
  <c r="D278" i="6"/>
  <c r="C278" i="6"/>
  <c r="E278" i="6" s="1"/>
  <c r="D277" i="6"/>
  <c r="C277" i="6"/>
  <c r="E277" i="6" s="1"/>
  <c r="D276" i="6"/>
  <c r="C276" i="6"/>
  <c r="E276" i="6" s="1"/>
  <c r="D275" i="6"/>
  <c r="C275" i="6"/>
  <c r="E275" i="6" s="1"/>
  <c r="D274" i="6"/>
  <c r="C274" i="6"/>
  <c r="E274" i="6" s="1"/>
  <c r="D273" i="6"/>
  <c r="C273" i="6"/>
  <c r="E273" i="6" s="1"/>
  <c r="D272" i="6"/>
  <c r="C272" i="6"/>
  <c r="E272" i="6" s="1"/>
  <c r="D271" i="6"/>
  <c r="C271" i="6"/>
  <c r="E271" i="6" s="1"/>
  <c r="D270" i="6"/>
  <c r="C270" i="6"/>
  <c r="E270" i="6" s="1"/>
  <c r="D269" i="6"/>
  <c r="C269" i="6"/>
  <c r="E269" i="6" s="1"/>
  <c r="E108" i="6"/>
  <c r="C108" i="6"/>
  <c r="E107" i="6"/>
  <c r="C107" i="6"/>
  <c r="E106" i="6"/>
  <c r="C106" i="6"/>
  <c r="E96" i="6"/>
  <c r="E110" i="6" s="1"/>
  <c r="C96" i="6"/>
  <c r="C110" i="6" s="1"/>
  <c r="E95" i="6"/>
  <c r="E109" i="6" s="1"/>
  <c r="C95" i="6"/>
  <c r="C109" i="6" s="1"/>
  <c r="E94" i="6"/>
  <c r="E97" i="6" s="1"/>
  <c r="C94" i="6"/>
  <c r="C97" i="6" s="1"/>
  <c r="E87" i="6"/>
  <c r="C87" i="6"/>
  <c r="E86" i="6"/>
  <c r="C86" i="6"/>
  <c r="E65" i="6"/>
  <c r="C65" i="6"/>
  <c r="E60" i="6"/>
  <c r="C60" i="6"/>
  <c r="E59" i="6"/>
  <c r="D145" i="6" s="1"/>
  <c r="C59" i="6"/>
  <c r="B145" i="6" s="1"/>
  <c r="E58" i="6"/>
  <c r="D144" i="6" s="1"/>
  <c r="C58" i="6"/>
  <c r="B144" i="6" s="1"/>
  <c r="E53" i="6"/>
  <c r="D122" i="6" s="1"/>
  <c r="C53" i="6"/>
  <c r="B122" i="6" s="1"/>
  <c r="E52" i="6"/>
  <c r="D121" i="6" s="1"/>
  <c r="C52" i="6"/>
  <c r="B121" i="6" s="1"/>
  <c r="E47" i="6"/>
  <c r="D120" i="6" s="1"/>
  <c r="C47" i="6"/>
  <c r="B120" i="6" s="1"/>
  <c r="E46" i="6"/>
  <c r="D119" i="6" s="1"/>
  <c r="C46" i="6"/>
  <c r="B119" i="6" s="1"/>
  <c r="E45" i="6"/>
  <c r="D118" i="6" s="1"/>
  <c r="C45" i="6"/>
  <c r="B118" i="6" s="1"/>
  <c r="D284" i="5"/>
  <c r="C284" i="5"/>
  <c r="E284" i="5" s="1"/>
  <c r="D283" i="5"/>
  <c r="C283" i="5"/>
  <c r="E283" i="5" s="1"/>
  <c r="D282" i="5"/>
  <c r="C282" i="5"/>
  <c r="E282" i="5" s="1"/>
  <c r="D281" i="5"/>
  <c r="C281" i="5"/>
  <c r="E281" i="5" s="1"/>
  <c r="D280" i="5"/>
  <c r="C280" i="5"/>
  <c r="E280" i="5" s="1"/>
  <c r="D279" i="5"/>
  <c r="C279" i="5"/>
  <c r="E279" i="5" s="1"/>
  <c r="D278" i="5"/>
  <c r="C278" i="5"/>
  <c r="E278" i="5" s="1"/>
  <c r="D277" i="5"/>
  <c r="C277" i="5"/>
  <c r="E277" i="5" s="1"/>
  <c r="D276" i="5"/>
  <c r="C276" i="5"/>
  <c r="E276" i="5" s="1"/>
  <c r="D275" i="5"/>
  <c r="C275" i="5"/>
  <c r="E275" i="5" s="1"/>
  <c r="D274" i="5"/>
  <c r="C274" i="5"/>
  <c r="E274" i="5" s="1"/>
  <c r="D273" i="5"/>
  <c r="C273" i="5"/>
  <c r="E273" i="5" s="1"/>
  <c r="D272" i="5"/>
  <c r="C272" i="5"/>
  <c r="E272" i="5" s="1"/>
  <c r="D271" i="5"/>
  <c r="C271" i="5"/>
  <c r="E271" i="5" s="1"/>
  <c r="D270" i="5"/>
  <c r="C270" i="5"/>
  <c r="E270" i="5" s="1"/>
  <c r="D269" i="5"/>
  <c r="C269" i="5"/>
  <c r="E269" i="5" s="1"/>
  <c r="E108" i="5"/>
  <c r="C108" i="5"/>
  <c r="E107" i="5"/>
  <c r="C107" i="5"/>
  <c r="E106" i="5"/>
  <c r="C106" i="5"/>
  <c r="E96" i="5"/>
  <c r="E110" i="5" s="1"/>
  <c r="C96" i="5"/>
  <c r="C110" i="5" s="1"/>
  <c r="E95" i="5"/>
  <c r="E109" i="5" s="1"/>
  <c r="C95" i="5"/>
  <c r="C109" i="5" s="1"/>
  <c r="E94" i="5"/>
  <c r="E97" i="5" s="1"/>
  <c r="C94" i="5"/>
  <c r="C97" i="5" s="1"/>
  <c r="E87" i="5"/>
  <c r="C87" i="5"/>
  <c r="E86" i="5"/>
  <c r="C86" i="5"/>
  <c r="E65" i="5"/>
  <c r="C65" i="5"/>
  <c r="E60" i="5"/>
  <c r="C60" i="5"/>
  <c r="E59" i="5"/>
  <c r="D145" i="5" s="1"/>
  <c r="C59" i="5"/>
  <c r="B145" i="5" s="1"/>
  <c r="E58" i="5"/>
  <c r="D144" i="5" s="1"/>
  <c r="C58" i="5"/>
  <c r="B144" i="5" s="1"/>
  <c r="E53" i="5"/>
  <c r="D122" i="5" s="1"/>
  <c r="C53" i="5"/>
  <c r="B122" i="5" s="1"/>
  <c r="E52" i="5"/>
  <c r="D121" i="5" s="1"/>
  <c r="C52" i="5"/>
  <c r="B121" i="5" s="1"/>
  <c r="E47" i="5"/>
  <c r="D120" i="5" s="1"/>
  <c r="C47" i="5"/>
  <c r="B120" i="5" s="1"/>
  <c r="E46" i="5"/>
  <c r="D119" i="5" s="1"/>
  <c r="C46" i="5"/>
  <c r="B119" i="5" s="1"/>
  <c r="E45" i="5"/>
  <c r="D118" i="5" s="1"/>
  <c r="C45" i="5"/>
  <c r="B118" i="5" s="1"/>
  <c r="D283" i="4"/>
  <c r="C283" i="4"/>
  <c r="E283" i="4" s="1"/>
  <c r="D282" i="4"/>
  <c r="C282" i="4"/>
  <c r="E282" i="4" s="1"/>
  <c r="D281" i="4"/>
  <c r="C281" i="4"/>
  <c r="E281" i="4" s="1"/>
  <c r="D280" i="4"/>
  <c r="C280" i="4"/>
  <c r="E280" i="4" s="1"/>
  <c r="D279" i="4"/>
  <c r="C279" i="4"/>
  <c r="E279" i="4" s="1"/>
  <c r="D278" i="4"/>
  <c r="C278" i="4"/>
  <c r="E278" i="4" s="1"/>
  <c r="D277" i="4"/>
  <c r="C277" i="4"/>
  <c r="E277" i="4" s="1"/>
  <c r="D276" i="4"/>
  <c r="C276" i="4"/>
  <c r="E276" i="4" s="1"/>
  <c r="D275" i="4"/>
  <c r="C275" i="4"/>
  <c r="E275" i="4" s="1"/>
  <c r="D274" i="4"/>
  <c r="C274" i="4"/>
  <c r="E274" i="4" s="1"/>
  <c r="D273" i="4"/>
  <c r="C273" i="4"/>
  <c r="E273" i="4" s="1"/>
  <c r="D272" i="4"/>
  <c r="C272" i="4"/>
  <c r="E272" i="4" s="1"/>
  <c r="D271" i="4"/>
  <c r="C271" i="4"/>
  <c r="E271" i="4" s="1"/>
  <c r="D270" i="4"/>
  <c r="C270" i="4"/>
  <c r="E270" i="4" s="1"/>
  <c r="D269" i="4"/>
  <c r="C269" i="4"/>
  <c r="E269" i="4" s="1"/>
  <c r="D268" i="4"/>
  <c r="C268" i="4"/>
  <c r="E268" i="4" s="1"/>
  <c r="E108" i="4"/>
  <c r="C108" i="4"/>
  <c r="E107" i="4"/>
  <c r="C107" i="4"/>
  <c r="E106" i="4"/>
  <c r="C106" i="4"/>
  <c r="E96" i="4"/>
  <c r="E110" i="4" s="1"/>
  <c r="C96" i="4"/>
  <c r="C110" i="4" s="1"/>
  <c r="E95" i="4"/>
  <c r="E109" i="4" s="1"/>
  <c r="C95" i="4"/>
  <c r="C109" i="4" s="1"/>
  <c r="E94" i="4"/>
  <c r="E97" i="4" s="1"/>
  <c r="C94" i="4"/>
  <c r="C97" i="4" s="1"/>
  <c r="E87" i="4"/>
  <c r="C87" i="4"/>
  <c r="E86" i="4"/>
  <c r="C86" i="4"/>
  <c r="E65" i="4"/>
  <c r="C65" i="4"/>
  <c r="E60" i="4"/>
  <c r="C60" i="4"/>
  <c r="E59" i="4"/>
  <c r="D145" i="4" s="1"/>
  <c r="C59" i="4"/>
  <c r="B145" i="4" s="1"/>
  <c r="E58" i="4"/>
  <c r="D144" i="4" s="1"/>
  <c r="C58" i="4"/>
  <c r="B144" i="4" s="1"/>
  <c r="E53" i="4"/>
  <c r="D122" i="4" s="1"/>
  <c r="C53" i="4"/>
  <c r="B122" i="4" s="1"/>
  <c r="E52" i="4"/>
  <c r="D121" i="4" s="1"/>
  <c r="C52" i="4"/>
  <c r="B121" i="4" s="1"/>
  <c r="E47" i="4"/>
  <c r="D120" i="4" s="1"/>
  <c r="C47" i="4"/>
  <c r="B120" i="4" s="1"/>
  <c r="E46" i="4"/>
  <c r="D119" i="4" s="1"/>
  <c r="C46" i="4"/>
  <c r="B119" i="4" s="1"/>
  <c r="E45" i="4"/>
  <c r="D118" i="4" s="1"/>
  <c r="C45" i="4"/>
  <c r="B118" i="4" s="1"/>
  <c r="D284" i="3"/>
  <c r="C284" i="3"/>
  <c r="E284" i="3" s="1"/>
  <c r="D283" i="3"/>
  <c r="C283" i="3"/>
  <c r="E283" i="3" s="1"/>
  <c r="D282" i="3"/>
  <c r="C282" i="3"/>
  <c r="E282" i="3" s="1"/>
  <c r="D281" i="3"/>
  <c r="C281" i="3"/>
  <c r="E281" i="3" s="1"/>
  <c r="D280" i="3"/>
  <c r="C280" i="3"/>
  <c r="E280" i="3" s="1"/>
  <c r="D279" i="3"/>
  <c r="C279" i="3"/>
  <c r="E279" i="3" s="1"/>
  <c r="D278" i="3"/>
  <c r="C278" i="3"/>
  <c r="E278" i="3" s="1"/>
  <c r="D277" i="3"/>
  <c r="C277" i="3"/>
  <c r="E277" i="3" s="1"/>
  <c r="D276" i="3"/>
  <c r="C276" i="3"/>
  <c r="E276" i="3" s="1"/>
  <c r="D275" i="3"/>
  <c r="C275" i="3"/>
  <c r="E275" i="3" s="1"/>
  <c r="D274" i="3"/>
  <c r="C274" i="3"/>
  <c r="E274" i="3" s="1"/>
  <c r="D273" i="3"/>
  <c r="C273" i="3"/>
  <c r="E273" i="3" s="1"/>
  <c r="D272" i="3"/>
  <c r="C272" i="3"/>
  <c r="E272" i="3" s="1"/>
  <c r="D271" i="3"/>
  <c r="C271" i="3"/>
  <c r="E271" i="3" s="1"/>
  <c r="D270" i="3"/>
  <c r="C270" i="3"/>
  <c r="E270" i="3" s="1"/>
  <c r="D269" i="3"/>
  <c r="C269" i="3"/>
  <c r="E269" i="3" s="1"/>
  <c r="E108" i="3"/>
  <c r="C108" i="3"/>
  <c r="E107" i="3"/>
  <c r="C107" i="3"/>
  <c r="E106" i="3"/>
  <c r="C106" i="3"/>
  <c r="E96" i="3"/>
  <c r="E110" i="3" s="1"/>
  <c r="C96" i="3"/>
  <c r="C110" i="3" s="1"/>
  <c r="E95" i="3"/>
  <c r="E109" i="3" s="1"/>
  <c r="C95" i="3"/>
  <c r="C109" i="3" s="1"/>
  <c r="E94" i="3"/>
  <c r="E97" i="3" s="1"/>
  <c r="C94" i="3"/>
  <c r="C97" i="3" s="1"/>
  <c r="E87" i="3"/>
  <c r="C87" i="3"/>
  <c r="E86" i="3"/>
  <c r="C86" i="3"/>
  <c r="E65" i="3"/>
  <c r="C65" i="3"/>
  <c r="E60" i="3"/>
  <c r="C60" i="3"/>
  <c r="E59" i="3"/>
  <c r="D145" i="3" s="1"/>
  <c r="C59" i="3"/>
  <c r="B145" i="3" s="1"/>
  <c r="E58" i="3"/>
  <c r="D144" i="3" s="1"/>
  <c r="C58" i="3"/>
  <c r="B144" i="3" s="1"/>
  <c r="E53" i="3"/>
  <c r="D122" i="3" s="1"/>
  <c r="C53" i="3"/>
  <c r="B122" i="3" s="1"/>
  <c r="E52" i="3"/>
  <c r="D121" i="3" s="1"/>
  <c r="C52" i="3"/>
  <c r="B121" i="3" s="1"/>
  <c r="E47" i="3"/>
  <c r="D120" i="3" s="1"/>
  <c r="C47" i="3"/>
  <c r="B120" i="3" s="1"/>
  <c r="E46" i="3"/>
  <c r="D119" i="3" s="1"/>
  <c r="C46" i="3"/>
  <c r="B119" i="3" s="1"/>
  <c r="E45" i="3"/>
  <c r="D118" i="3" s="1"/>
  <c r="C45" i="3"/>
  <c r="B118" i="3" s="1"/>
  <c r="D349" i="2"/>
  <c r="C349" i="2"/>
  <c r="E349" i="2" s="1"/>
  <c r="D348" i="2"/>
  <c r="C348" i="2"/>
  <c r="E348" i="2" s="1"/>
  <c r="D347" i="2"/>
  <c r="C347" i="2"/>
  <c r="E347" i="2" s="1"/>
  <c r="D346" i="2"/>
  <c r="C346" i="2"/>
  <c r="E346" i="2" s="1"/>
  <c r="D345" i="2"/>
  <c r="C345" i="2"/>
  <c r="E345" i="2" s="1"/>
  <c r="D344" i="2"/>
  <c r="C344" i="2"/>
  <c r="E344" i="2" s="1"/>
  <c r="D343" i="2"/>
  <c r="C343" i="2"/>
  <c r="E343" i="2" s="1"/>
  <c r="D342" i="2"/>
  <c r="C342" i="2"/>
  <c r="E342" i="2" s="1"/>
  <c r="D341" i="2"/>
  <c r="C341" i="2"/>
  <c r="E341" i="2" s="1"/>
  <c r="D340" i="2"/>
  <c r="C340" i="2"/>
  <c r="E340" i="2" s="1"/>
  <c r="D339" i="2"/>
  <c r="C339" i="2"/>
  <c r="E339" i="2" s="1"/>
  <c r="D338" i="2"/>
  <c r="C338" i="2"/>
  <c r="E338" i="2" s="1"/>
  <c r="D337" i="2"/>
  <c r="C337" i="2"/>
  <c r="E337" i="2" s="1"/>
  <c r="D336" i="2"/>
  <c r="C336" i="2"/>
  <c r="E336" i="2" s="1"/>
  <c r="D335" i="2"/>
  <c r="C335" i="2"/>
  <c r="E335" i="2" s="1"/>
  <c r="D334" i="2"/>
  <c r="C334" i="2"/>
  <c r="E334" i="2" s="1"/>
  <c r="E108" i="2"/>
  <c r="C108" i="2"/>
  <c r="E107" i="2"/>
  <c r="C107" i="2"/>
  <c r="E106" i="2"/>
  <c r="C106" i="2"/>
  <c r="E96" i="2"/>
  <c r="E110" i="2" s="1"/>
  <c r="C96" i="2"/>
  <c r="C110" i="2" s="1"/>
  <c r="E95" i="2"/>
  <c r="E109" i="2" s="1"/>
  <c r="C95" i="2"/>
  <c r="C109" i="2" s="1"/>
  <c r="E94" i="2"/>
  <c r="E97" i="2" s="1"/>
  <c r="C94" i="2"/>
  <c r="C97" i="2" s="1"/>
  <c r="E87" i="2"/>
  <c r="C87" i="2"/>
  <c r="E86" i="2"/>
  <c r="C86" i="2"/>
  <c r="E65" i="2"/>
  <c r="C65" i="2"/>
  <c r="E60" i="2"/>
  <c r="C60" i="2"/>
  <c r="E59" i="2"/>
  <c r="D149" i="2" s="1"/>
  <c r="C59" i="2"/>
  <c r="B149" i="2" s="1"/>
  <c r="E58" i="2"/>
  <c r="D148" i="2" s="1"/>
  <c r="C58" i="2"/>
  <c r="B148" i="2" s="1"/>
  <c r="E53" i="2"/>
  <c r="D122" i="2" s="1"/>
  <c r="C53" i="2"/>
  <c r="B122" i="2" s="1"/>
  <c r="E52" i="2"/>
  <c r="D121" i="2" s="1"/>
  <c r="C52" i="2"/>
  <c r="B121" i="2" s="1"/>
  <c r="E47" i="2"/>
  <c r="D120" i="2" s="1"/>
  <c r="C47" i="2"/>
  <c r="B120" i="2" s="1"/>
  <c r="E46" i="2"/>
  <c r="D119" i="2" s="1"/>
  <c r="C46" i="2"/>
  <c r="B119" i="2" s="1"/>
  <c r="E45" i="2"/>
  <c r="D118" i="2" s="1"/>
  <c r="C45" i="2"/>
  <c r="B118" i="2" s="1"/>
  <c r="F108" i="2" l="1"/>
  <c r="F108" i="3"/>
  <c r="F108" i="4"/>
  <c r="F108" i="5"/>
  <c r="F108" i="6"/>
  <c r="F107" i="2"/>
  <c r="F107" i="3"/>
  <c r="F107" i="4"/>
  <c r="F107" i="5"/>
  <c r="F107" i="6"/>
  <c r="L127" i="7"/>
  <c r="D108" i="2"/>
  <c r="D108" i="3"/>
  <c r="D108" i="4"/>
  <c r="D108" i="5"/>
  <c r="D108" i="6"/>
  <c r="D107" i="2"/>
  <c r="D107" i="3"/>
  <c r="D107" i="4"/>
  <c r="D107" i="5"/>
  <c r="D107" i="6"/>
  <c r="L116" i="7"/>
  <c r="B131" i="7"/>
  <c r="L131" i="7" s="1"/>
  <c r="L108" i="7"/>
  <c r="B130" i="7"/>
  <c r="L107" i="7"/>
  <c r="L106" i="7"/>
  <c r="L109" i="7" s="1"/>
  <c r="B109" i="7"/>
  <c r="L101" i="7"/>
  <c r="B120" i="7"/>
  <c r="L120" i="7" s="1"/>
  <c r="L100" i="7"/>
  <c r="B119" i="7"/>
  <c r="L99" i="7"/>
  <c r="L102" i="7" s="1"/>
  <c r="B102" i="7"/>
  <c r="F87" i="2"/>
  <c r="F87" i="3"/>
  <c r="F87" i="4"/>
  <c r="F87" i="5"/>
  <c r="F87" i="6"/>
  <c r="F86" i="2"/>
  <c r="F86" i="3"/>
  <c r="F86" i="4"/>
  <c r="F86" i="5"/>
  <c r="F86" i="6"/>
  <c r="D87" i="2"/>
  <c r="D87" i="3"/>
  <c r="D87" i="4"/>
  <c r="D87" i="5"/>
  <c r="D87" i="6"/>
  <c r="D86" i="2"/>
  <c r="D86" i="3"/>
  <c r="D86" i="4"/>
  <c r="D86" i="5"/>
  <c r="D86" i="6"/>
  <c r="F65" i="2"/>
  <c r="F65" i="3"/>
  <c r="F65" i="4"/>
  <c r="F65" i="5"/>
  <c r="F65" i="6"/>
  <c r="F53" i="2"/>
  <c r="E122" i="2" s="1"/>
  <c r="F53" i="3"/>
  <c r="E122" i="3" s="1"/>
  <c r="F53" i="4"/>
  <c r="E122" i="4" s="1"/>
  <c r="F53" i="5"/>
  <c r="E122" i="5" s="1"/>
  <c r="F53" i="6"/>
  <c r="E122" i="6" s="1"/>
  <c r="F52" i="2"/>
  <c r="E121" i="2" s="1"/>
  <c r="F52" i="3"/>
  <c r="E121" i="3" s="1"/>
  <c r="F52" i="4"/>
  <c r="E121" i="4" s="1"/>
  <c r="F52" i="5"/>
  <c r="E121" i="5" s="1"/>
  <c r="F52" i="6"/>
  <c r="E121" i="6" s="1"/>
  <c r="B133" i="7"/>
  <c r="L133" i="7" s="1"/>
  <c r="L65" i="7"/>
  <c r="F59" i="2"/>
  <c r="E149" i="2" s="1"/>
  <c r="F59" i="3"/>
  <c r="E145" i="3" s="1"/>
  <c r="F59" i="4"/>
  <c r="E145" i="4" s="1"/>
  <c r="F59" i="5"/>
  <c r="E145" i="5" s="1"/>
  <c r="F59" i="6"/>
  <c r="E145" i="6" s="1"/>
  <c r="F58" i="2"/>
  <c r="E148" i="2" s="1"/>
  <c r="F94" i="2"/>
  <c r="F58" i="3"/>
  <c r="E144" i="3" s="1"/>
  <c r="F94" i="3"/>
  <c r="F58" i="4"/>
  <c r="E144" i="4" s="1"/>
  <c r="F94" i="4"/>
  <c r="F58" i="5"/>
  <c r="E144" i="5" s="1"/>
  <c r="F94" i="5"/>
  <c r="F58" i="6"/>
  <c r="E144" i="6" s="1"/>
  <c r="F94" i="6"/>
  <c r="F47" i="2"/>
  <c r="E120" i="2" s="1"/>
  <c r="F47" i="3"/>
  <c r="E120" i="3" s="1"/>
  <c r="F47" i="4"/>
  <c r="E120" i="4" s="1"/>
  <c r="F47" i="5"/>
  <c r="E120" i="5" s="1"/>
  <c r="F47" i="6"/>
  <c r="E120" i="6" s="1"/>
  <c r="F46" i="2"/>
  <c r="E119" i="2" s="1"/>
  <c r="F46" i="3"/>
  <c r="E119" i="3" s="1"/>
  <c r="F46" i="4"/>
  <c r="E119" i="4" s="1"/>
  <c r="F46" i="5"/>
  <c r="E119" i="5" s="1"/>
  <c r="F46" i="6"/>
  <c r="E119" i="6" s="1"/>
  <c r="F45" i="2"/>
  <c r="E118" i="2" s="1"/>
  <c r="F45" i="3"/>
  <c r="E118" i="3" s="1"/>
  <c r="F45" i="4"/>
  <c r="E118" i="4" s="1"/>
  <c r="F45" i="5"/>
  <c r="E118" i="5" s="1"/>
  <c r="F45" i="6"/>
  <c r="E118" i="6" s="1"/>
  <c r="D65" i="2"/>
  <c r="D65" i="3"/>
  <c r="D65" i="4"/>
  <c r="D65" i="5"/>
  <c r="D65" i="6"/>
  <c r="D53" i="2"/>
  <c r="C122" i="2" s="1"/>
  <c r="D53" i="3"/>
  <c r="C122" i="3" s="1"/>
  <c r="D53" i="4"/>
  <c r="C122" i="4" s="1"/>
  <c r="D53" i="5"/>
  <c r="C122" i="5" s="1"/>
  <c r="D53" i="6"/>
  <c r="C122" i="6" s="1"/>
  <c r="D52" i="2"/>
  <c r="C121" i="2" s="1"/>
  <c r="D52" i="3"/>
  <c r="C121" i="3" s="1"/>
  <c r="D52" i="4"/>
  <c r="C121" i="4" s="1"/>
  <c r="D52" i="5"/>
  <c r="C121" i="5" s="1"/>
  <c r="D52" i="6"/>
  <c r="C121" i="6" s="1"/>
  <c r="B122" i="7"/>
  <c r="L122" i="7" s="1"/>
  <c r="L53" i="7"/>
  <c r="D59" i="2"/>
  <c r="C149" i="2" s="1"/>
  <c r="D59" i="3"/>
  <c r="C145" i="3" s="1"/>
  <c r="D59" i="4"/>
  <c r="C145" i="4" s="1"/>
  <c r="D59" i="5"/>
  <c r="C145" i="5" s="1"/>
  <c r="D59" i="6"/>
  <c r="C145" i="6" s="1"/>
  <c r="D58" i="2"/>
  <c r="C148" i="2" s="1"/>
  <c r="D94" i="2"/>
  <c r="D58" i="3"/>
  <c r="C144" i="3" s="1"/>
  <c r="D94" i="3"/>
  <c r="D58" i="4"/>
  <c r="C144" i="4" s="1"/>
  <c r="D94" i="4"/>
  <c r="D58" i="5"/>
  <c r="C144" i="5" s="1"/>
  <c r="D94" i="5"/>
  <c r="D58" i="6"/>
  <c r="C144" i="6" s="1"/>
  <c r="D94" i="6"/>
  <c r="D47" i="2"/>
  <c r="C120" i="2" s="1"/>
  <c r="D47" i="3"/>
  <c r="C120" i="3" s="1"/>
  <c r="D47" i="4"/>
  <c r="C120" i="4" s="1"/>
  <c r="D47" i="5"/>
  <c r="C120" i="5" s="1"/>
  <c r="D47" i="6"/>
  <c r="C120" i="6" s="1"/>
  <c r="D46" i="2"/>
  <c r="C119" i="2" s="1"/>
  <c r="D46" i="3"/>
  <c r="C119" i="3" s="1"/>
  <c r="D46" i="4"/>
  <c r="C119" i="4" s="1"/>
  <c r="D46" i="5"/>
  <c r="C119" i="5" s="1"/>
  <c r="D46" i="6"/>
  <c r="C119" i="6" s="1"/>
  <c r="D45" i="2"/>
  <c r="C118" i="2" s="1"/>
  <c r="D45" i="3"/>
  <c r="C118" i="3" s="1"/>
  <c r="D45" i="4"/>
  <c r="C118" i="4" s="1"/>
  <c r="D45" i="5"/>
  <c r="C118" i="5" s="1"/>
  <c r="D45" i="6"/>
  <c r="C118" i="6" s="1"/>
  <c r="D146" i="6"/>
  <c r="E112" i="6"/>
  <c r="B146" i="6"/>
  <c r="C112" i="6"/>
  <c r="D146" i="5"/>
  <c r="E112" i="5"/>
  <c r="B146" i="5"/>
  <c r="C112" i="5"/>
  <c r="D146" i="4"/>
  <c r="E112" i="4"/>
  <c r="B146" i="4"/>
  <c r="C112" i="4"/>
  <c r="D146" i="3"/>
  <c r="E112" i="3"/>
  <c r="C112" i="3"/>
  <c r="B146" i="3"/>
  <c r="D150" i="2"/>
  <c r="E112" i="2"/>
  <c r="B150" i="2"/>
  <c r="C112" i="2"/>
  <c r="J132" i="7"/>
  <c r="J134" i="7" s="1"/>
  <c r="H132" i="7"/>
  <c r="H134" i="7" s="1"/>
  <c r="F132" i="7"/>
  <c r="F134" i="7" s="1"/>
  <c r="D132" i="7"/>
  <c r="D134" i="7" s="1"/>
  <c r="J121" i="7"/>
  <c r="J123" i="7" s="1"/>
  <c r="H121" i="7"/>
  <c r="H123" i="7" s="1"/>
  <c r="F121" i="7"/>
  <c r="F123" i="7" s="1"/>
  <c r="D121" i="7"/>
  <c r="D123" i="7" s="1"/>
  <c r="E111" i="6"/>
  <c r="E113" i="6" s="1"/>
  <c r="C111" i="6"/>
  <c r="C113" i="6" s="1"/>
  <c r="E111" i="5"/>
  <c r="E113" i="5" s="1"/>
  <c r="C111" i="5"/>
  <c r="C113" i="5" s="1"/>
  <c r="E111" i="4"/>
  <c r="E113" i="4" s="1"/>
  <c r="C111" i="4"/>
  <c r="C113" i="4" s="1"/>
  <c r="E111" i="3"/>
  <c r="E113" i="3" s="1"/>
  <c r="C111" i="3"/>
  <c r="C113" i="3" s="1"/>
  <c r="E111" i="2"/>
  <c r="E113" i="2" s="1"/>
  <c r="C111" i="2"/>
  <c r="C113" i="2" s="1"/>
  <c r="L132" i="7" l="1"/>
  <c r="L134" i="7" s="1"/>
  <c r="F106" i="2"/>
  <c r="F106" i="3"/>
  <c r="F106" i="4"/>
  <c r="F106" i="5"/>
  <c r="F106" i="6"/>
  <c r="L121" i="7"/>
  <c r="L123" i="7" s="1"/>
  <c r="D106" i="2"/>
  <c r="D106" i="3"/>
  <c r="D106" i="4"/>
  <c r="D106" i="5"/>
  <c r="D106" i="6"/>
  <c r="F96" i="2"/>
  <c r="F110" i="2"/>
  <c r="F96" i="3"/>
  <c r="F110" i="3"/>
  <c r="F96" i="4"/>
  <c r="F110" i="4"/>
  <c r="F96" i="5"/>
  <c r="F110" i="5"/>
  <c r="F96" i="6"/>
  <c r="F110" i="6"/>
  <c r="F95" i="2"/>
  <c r="F97" i="2" s="1"/>
  <c r="F109" i="2"/>
  <c r="F95" i="3"/>
  <c r="F97" i="3" s="1"/>
  <c r="F109" i="3"/>
  <c r="F95" i="4"/>
  <c r="F97" i="4" s="1"/>
  <c r="F109" i="4"/>
  <c r="F95" i="5"/>
  <c r="F97" i="5" s="1"/>
  <c r="F109" i="5"/>
  <c r="F95" i="6"/>
  <c r="F97" i="6" s="1"/>
  <c r="F109" i="6"/>
  <c r="D96" i="2"/>
  <c r="D110" i="2"/>
  <c r="D96" i="3"/>
  <c r="D110" i="3"/>
  <c r="D96" i="4"/>
  <c r="D110" i="4"/>
  <c r="D96" i="5"/>
  <c r="D110" i="5"/>
  <c r="D96" i="6"/>
  <c r="D110" i="6"/>
  <c r="D95" i="2"/>
  <c r="D97" i="2" s="1"/>
  <c r="D109" i="2"/>
  <c r="D95" i="3"/>
  <c r="D97" i="3" s="1"/>
  <c r="D109" i="3"/>
  <c r="D95" i="4"/>
  <c r="D97" i="4" s="1"/>
  <c r="D109" i="4"/>
  <c r="D95" i="5"/>
  <c r="D97" i="5" s="1"/>
  <c r="D109" i="5"/>
  <c r="D95" i="6"/>
  <c r="D97" i="6" s="1"/>
  <c r="D109" i="6"/>
  <c r="F60" i="2"/>
  <c r="F60" i="3"/>
  <c r="F60" i="4"/>
  <c r="F60" i="5"/>
  <c r="F60" i="6"/>
  <c r="D60" i="2"/>
  <c r="D60" i="3"/>
  <c r="D60" i="4"/>
  <c r="D60" i="5"/>
  <c r="D60" i="6"/>
  <c r="L130" i="7"/>
  <c r="B132" i="7"/>
  <c r="B134" i="7" s="1"/>
  <c r="L119" i="7"/>
  <c r="B121" i="7"/>
  <c r="B123" i="7" s="1"/>
  <c r="F112" i="2" l="1"/>
  <c r="E150" i="2"/>
  <c r="F112" i="3"/>
  <c r="E146" i="3"/>
  <c r="F112" i="4"/>
  <c r="E146" i="4"/>
  <c r="F112" i="5"/>
  <c r="E146" i="5"/>
  <c r="F112" i="6"/>
  <c r="E146" i="6"/>
  <c r="D112" i="2"/>
  <c r="C150" i="2"/>
  <c r="D112" i="3"/>
  <c r="C146" i="3"/>
  <c r="D112" i="4"/>
  <c r="C146" i="4"/>
  <c r="D112" i="5"/>
  <c r="C146" i="5"/>
  <c r="D112" i="6"/>
  <c r="C146" i="6"/>
  <c r="F111" i="2"/>
  <c r="F113" i="2" s="1"/>
  <c r="F111" i="3"/>
  <c r="F113" i="3" s="1"/>
  <c r="F111" i="4"/>
  <c r="F113" i="4" s="1"/>
  <c r="F111" i="5"/>
  <c r="F113" i="5" s="1"/>
  <c r="F111" i="6"/>
  <c r="F113" i="6" s="1"/>
  <c r="D111" i="2"/>
  <c r="D113" i="2" s="1"/>
  <c r="D111" i="3"/>
  <c r="D113" i="3" s="1"/>
  <c r="D111" i="4"/>
  <c r="D113" i="4" s="1"/>
  <c r="D111" i="5"/>
  <c r="D113" i="5" s="1"/>
  <c r="D111" i="6"/>
  <c r="D113" i="6" s="1"/>
</calcChain>
</file>

<file path=xl/sharedStrings.xml><?xml version="1.0" encoding="utf-8"?>
<sst xmlns="http://schemas.openxmlformats.org/spreadsheetml/2006/main" count="1350" uniqueCount="267">
  <si>
    <t>FINANCIAL ACCOUNTING &amp; ANALYSIS</t>
  </si>
  <si>
    <t>MAJOR PROJECT REPORT</t>
  </si>
  <si>
    <t>Industry Study: Paints &amp; Coatings</t>
  </si>
  <si>
    <t>A Comparative Financial Accounting and Ratio Analysis of Five Listed Indian Paints &amp; Coatings Companies</t>
  </si>
  <si>
    <t>Berger Paints India Ltd. | Kansai Nerolac Paints Ltd. | Asian Paints Ltd. | Indigo Paints Ltd. | JSW Dulux Ltd. (formerly Akzo Nobel India Ltd.)</t>
  </si>
  <si>
    <t>Team Members</t>
  </si>
  <si>
    <t>Company Chosen</t>
  </si>
  <si>
    <t>Sachi Jain (R012)</t>
  </si>
  <si>
    <t>Berger Paints India Ltd.</t>
  </si>
  <si>
    <t>Vidisha Kondinya (R016)</t>
  </si>
  <si>
    <t>Asian Paints Ltd.</t>
  </si>
  <si>
    <t>Samruddhi Palodkar (R025)</t>
  </si>
  <si>
    <t>Indigo Paints Ltd.</t>
  </si>
  <si>
    <t>Arnav Rathod (R031)</t>
  </si>
  <si>
    <t>Kansai Nerolac Paints Ltd.</t>
  </si>
  <si>
    <t>Priyansh Soni (R045)</t>
  </si>
  <si>
    <t>JSW Dulux Ltd.</t>
  </si>
  <si>
    <t>MBA Tech (Artificial Intelligence)</t>
  </si>
  <si>
    <t>SVKM’s NMIMS, Mumbai</t>
  </si>
  <si>
    <t>Course: Financial Accounting &amp; Analysis (FAA)</t>
  </si>
  <si>
    <t>Faculty: Dr. Alaknanda Lonare</t>
  </si>
  <si>
    <t>Academic Year 2026-27   |   Submission Date: 15 October 2026</t>
  </si>
  <si>
    <t>Berger Paints India Ltd. - Financial Analysis</t>
  </si>
  <si>
    <t>Standalone Financial Statements | FY2024–25 &amp; FY2025–26 (FY2023–24 Opening Balances) | Amounts in ₹ Crore Unless Stated | Industry Average: Simple Mean of Five Companies</t>
  </si>
  <si>
    <t xml:space="preserve">Financial Statement Analysis </t>
  </si>
  <si>
    <t>A. Key Financial Figures - Financial Statement Data (₹ Crore) - own company inputs used by the analysis</t>
  </si>
  <si>
    <t>Line Item</t>
  </si>
  <si>
    <t>Berger Paints</t>
  </si>
  <si>
    <t>FY2024-25</t>
  </si>
  <si>
    <t>FY2025-26</t>
  </si>
  <si>
    <t>Inventories (closing stock)</t>
  </si>
  <si>
    <t>Trade Receivables (current)</t>
  </si>
  <si>
    <t>Cash &amp; Cash Equivalents</t>
  </si>
  <si>
    <t>Bank Balances other than Cash &amp; Cash Equivalents</t>
  </si>
  <si>
    <t>Other Current Assets (investments, loans, other financial &amp; non-financial assets)</t>
  </si>
  <si>
    <t>Total Current Assets</t>
  </si>
  <si>
    <t>Trade Payables</t>
  </si>
  <si>
    <t>Short-term Borrowings</t>
  </si>
  <si>
    <t>Other Current Liabilities &amp; Provisions (incl. current lease liabilities)</t>
  </si>
  <si>
    <t>Total Current Liabilities</t>
  </si>
  <si>
    <t>Total Borrowings (interest-bearing debt; excludes lease liabilities)</t>
  </si>
  <si>
    <t>Total Equity / Shareholders’ Funds</t>
  </si>
  <si>
    <t>Total Assets</t>
  </si>
  <si>
    <t>Revenue from Operations</t>
  </si>
  <si>
    <t>Cost of Materials Consumed</t>
  </si>
  <si>
    <t>Profit Before Tax</t>
  </si>
  <si>
    <t>Tax Expense</t>
  </si>
  <si>
    <t>Profit for the Year (PAT)</t>
  </si>
  <si>
    <t>Exceptional Items - net gain/(charge), already included in PBT above (memo)</t>
  </si>
  <si>
    <t>Profit Before Exceptional Items &amp; Tax (memo)</t>
  </si>
  <si>
    <t>Total Lease Liabilities, Ind AS 116 - excluded from Total Borrowings above (memo)</t>
  </si>
  <si>
    <t>Opening Balances - FY2023–24 Closing (Reference Only)</t>
  </si>
  <si>
    <t>These three FY2023-24 closing figures come from the comparative column already printed in each company’s FY2024-25 annual report (see citations below) and are used only to compute average-balance ratios for FY2024-25 in the tables below - they are not part of the two-year dataset used in the rest of this analysis.</t>
  </si>
  <si>
    <t>Line Item - As at 31 March 2024</t>
  </si>
  <si>
    <t>Ratio Analysis - Formula, Company Figures &amp; Industry Average</t>
  </si>
  <si>
    <t>Methodology: Debt-to-Equity excludes Ind AS 116 lease liabilities; a separate lease-inclusive ratio adds Total Lease Liabilities. The Industry Average is the simple arithmetic mean of the same ratio for the five selected companies, including the company being analysed. Supporting financial data is maintained in the Industry Summary sheet, while company-specific ratios are calculated separately for FY2024–25 and FY2025–26. Ratios based on average balances use FY2023–24 closing balances and FY2024–25 closing balances for FY2024–25, and FY2024–25 and FY2025–26 closing balances for FY2025–26. Materials-Consumption Turnover is used as a proxy for Inventory Turnover because a single consolidated Cost of Goods Sold figure is not available for all companies.</t>
  </si>
  <si>
    <t>B. Liquidity</t>
  </si>
  <si>
    <t>Ratio</t>
  </si>
  <si>
    <t>Formula</t>
  </si>
  <si>
    <t>Company</t>
  </si>
  <si>
    <t>Industry Avg</t>
  </si>
  <si>
    <t>Current Ratio</t>
  </si>
  <si>
    <t>Current Assets ÷ Current Liabilities</t>
  </si>
  <si>
    <t>Quick Ratio</t>
  </si>
  <si>
    <t>(Current Assets − Inventories) ÷ Current Liabilities</t>
  </si>
  <si>
    <t>Cash Ratio</t>
  </si>
  <si>
    <t>(Cash &amp; Cash Equivalents + Other Bank Balances) ÷ Current Liabilities</t>
  </si>
  <si>
    <t>C. Solvency and Leverage</t>
  </si>
  <si>
    <t>Debt-to-Equity</t>
  </si>
  <si>
    <t>Total Borrowings ÷ Total Equity</t>
  </si>
  <si>
    <t>Debt-to-Equity (incl. Lease Liabilities)</t>
  </si>
  <si>
    <t>(Total Borrowings + Total Lease Liabilities) ÷ Total Equity</t>
  </si>
  <si>
    <t>D. Profitability</t>
  </si>
  <si>
    <t>Net Profit Margin</t>
  </si>
  <si>
    <t>Net Profit (PAT) ÷ Revenue from Operations</t>
  </si>
  <si>
    <t>Return on Assets (ROA) - average basis</t>
  </si>
  <si>
    <t>Net Profit (PAT) ÷ Average Total Assets (average of prior-year &amp; current-year closing balances, both years)</t>
  </si>
  <si>
    <t>Return on Equity (ROE) - average basis</t>
  </si>
  <si>
    <t>Net Profit (PAT) ÷ Average Total Equity (average of prior-year &amp; current-year closing balances, both years)</t>
  </si>
  <si>
    <t>E. Efficiency and Turnover</t>
  </si>
  <si>
    <t>Materials-Consumption Turnover - average basis</t>
  </si>
  <si>
    <t>Cost of Materials Consumed ÷ Average Inventories (named explicitly as a proxy - none of the three companies discloses a single consolidated COGS line; average of prior-year &amp; current-year closing inventory, both years)</t>
  </si>
  <si>
    <t>F. Growth - Growth &amp; Profitability Ratios</t>
  </si>
  <si>
    <t>This section presents Revenue Growth (%) and Operating Profit Margin (%) for FY2024–25 and FY2025–26, using the same standalone basis and five-company Industry Average methodology as the preceding analysis. Revenue Growth (%) = (Current-year Revenue from Operations − Previous-year Revenue from Operations) ÷ Previous-year Revenue from Operations. FY2024–25 growth uses FY2023–24 comparative revenue, while FY2025–26 growth uses FY2024–25 and FY2025–26 figures from the financial data above. Operating Profit Margin (%) = Operating Profit ÷ Revenue from Operations, where Operating Profit = Revenue from Operations − (Total Expenses − Finance Costs). This measure is calculated consistently across all five companies using their reported figures.</t>
  </si>
  <si>
    <t>Additional Data - FY2023–24 Revenue from Operations (Reference Only)</t>
  </si>
  <si>
    <t>This FY2023-24 comparative figure is used only as the denominator for the FY2024-25 Revenue Growth (%) row below; it is not part of the two-year (FY2024-25/FY2025-26) dataset used elsewhere in this sheet. See the sourcing notes at the end of this section.</t>
  </si>
  <si>
    <t>Line Item - FY2023-24</t>
  </si>
  <si>
    <t>Berger</t>
  </si>
  <si>
    <t>Additional Financial Statement Data (₹ Crore, Standalone) - Inputs for Operating Profit Margin</t>
  </si>
  <si>
    <t>Total Expenses (Standalone P&amp;L, full total incl. Finance Costs &amp; Depreciation)</t>
  </si>
  <si>
    <t>Finance Costs (Standalone)</t>
  </si>
  <si>
    <t>Growth and Profitability Ratios - Formulas, Company Figures &amp; Industry Average</t>
  </si>
  <si>
    <t>Revenue Growth (%) = (Current-year Revenue − Previous-year Revenue) ÷ Previous-year Revenue. Operating Profit Margin (%) = [Revenue − (Total Expenses − Finance Costs)] ÷ Revenue, i.e. Profit from Operations before Other Income, Finance Costs &amp; Exceptional Items, as a % of Revenue. Industry Avg = simple (arithmetic) average of the same ratio across all five companies selected for this project (same methodology as the rest of this sheet).</t>
  </si>
  <si>
    <t>Revenue Growth (%)</t>
  </si>
  <si>
    <t>(Current-year Revenue − Previous-year Revenue) ÷ Previous-year Revenue</t>
  </si>
  <si>
    <t>Operating Profit Margin (%)</t>
  </si>
  <si>
    <t>[Revenue − (Total Expenses − Finance Costs)] ÷ Revenue</t>
  </si>
  <si>
    <t>G. 3-Factor DuPont Analysis - ROE Decomposition</t>
  </si>
  <si>
    <t>ROE = Net Profit Margin × Asset Turnover × Equity Multiplier. This decomposition explains ROE through profitability, asset efficiency and financial leverage. Asset Turnover and Equity Multiplier use the same average-balance convention as the ROA and ROE calculations above, ensuring consistent year-wise comparisons for FY2024–25 and FY2025–26.</t>
  </si>
  <si>
    <t>Component</t>
  </si>
  <si>
    <t>PAT ÷ Revenue</t>
  </si>
  <si>
    <t>Asset Turnover</t>
  </si>
  <si>
    <t>Revenue ÷ Average Total Assets</t>
  </si>
  <si>
    <t>Equity Multiplier</t>
  </si>
  <si>
    <t>Average Total Assets ÷ Average Total Equity</t>
  </si>
  <si>
    <t>ROE (product)</t>
  </si>
  <si>
    <t>Net Margin × Asset Turnover × Equity Multiplier</t>
  </si>
  <si>
    <t>The Industry Average columns for Net Profit Margin, Asset Turnover and Equity Multiplier are calculated as the simple arithmetic mean of the five companies’ respective ratios, including Berger Paints. Industry Average ROE (product) is the product of these three average components, not the arithmetic mean of the five companies’ ROEs. Therefore, it differs from the direct average ROE: 20.62% versus 20.66% in FY2024–25 and 29.13% versus 33.02% in FY2025–26. The difference is particularly pronounced in FY2025–26 because of JSW Dulux’s exceptional-item-inflated margin. The 5-Factor DuPont analysis below applies the same product-of-averages approach.</t>
  </si>
  <si>
    <t>H. 5-Factor DuPont Analysis of Return on Equity (Supplementary Analysis, Standalone)</t>
  </si>
  <si>
    <t>The 5-Factor DuPont model decomposes Return on Equity into five components: Tax Burden, Interest Burden, EBIT Margin, Asset Turnover and Equity Multiplier. Asset Turnover and Equity Multiplier follow the same average-balance convention as the 3-Factor model. The product of all five components reconciles to Net Profit (PAT) ÷ Average Total Equity, the directly calculated ROE. The Reconciliation Difference below verifies this for both financial years.</t>
  </si>
  <si>
    <t>EBIT is defined here as Profit Before Tax (PBT) + Finance Costs - the standard textbook DuPont definition (“Earnings Before Interest and Tax”), chosen specifically because it makes Interest Burden (PBT ÷ EBIT) a clean, well-behaved ratio and makes the five-factor product reconcile to reported ROE by construction, not by any forced adjustment. Because PBT already includes Other Income and any Exceptional Items, this EBIT (and the EBIT Margin and Interest Burden derived from it) also includes their effect - unlike the “Operating Profit Margin” in the Growth &amp; Profitability Ratios section above, which deliberately excludes Other Income, Finance Costs and Exceptional Items to show recurring operating performance only. The two margins are therefore not the same measure and are not interchangeable: Operating Profit Margin above is the cleaner recurring-operations view; EBIT Margin here is the measure needed for the five-factor ROE decomposition to reconcile exactly.</t>
  </si>
  <si>
    <t>Factor</t>
  </si>
  <si>
    <t>Tax Burden</t>
  </si>
  <si>
    <t>Net Profit (PAT) ÷ Profit Before Tax (PBT)</t>
  </si>
  <si>
    <t>Interest Burden</t>
  </si>
  <si>
    <t>PBT ÷ EBIT  (EBIT = PBT + Finance Costs)</t>
  </si>
  <si>
    <t>EBIT Margin</t>
  </si>
  <si>
    <t>EBIT ÷ Revenue from Operations</t>
  </si>
  <si>
    <t>Revenue ÷ Average Total Assets (as in the 3-Factor DuPont analysis above)</t>
  </si>
  <si>
    <t>Average Total Assets ÷ Average Total Equity (as in the 3-Factor DuPont analysis above)</t>
  </si>
  <si>
    <t>5-Factor DuPont ROE (product)</t>
  </si>
  <si>
    <t>Tax Burden × Interest Burden × EBIT Margin × Asset Turnover × Equity Multiplier</t>
  </si>
  <si>
    <t>Directly-Calculated ROE (existing, above)</t>
  </si>
  <si>
    <t>Net Profit (PAT) ÷ Average Total Equity - same figure as the Ratio Analysis / 3-Factor DuPont ROE above</t>
  </si>
  <si>
    <t>Reconciliation Difference</t>
  </si>
  <si>
    <t>5-Factor DuPont ROE − Directly-Calculated ROE (should be ~0.00%)</t>
  </si>
  <si>
    <t>The Industry Average in the 5-Factor DuPont ROE row is calculated by multiplying the five separately averaged components: Tax Burden, Interest Burden, EBIT Margin, Asset Turnover and Equity Multiplier. This product of averages differs mathematically from the arithmetic mean of the five companies’ individual ROEs, so the Industry Average Reconciliation Difference is non-zero. This is an averaging-order effect, not a formula error, and is particularly pronounced in FY2025–26 because of JSW Dulux’s exceptional-item-driven results. The individual company columns reconcile to their directly calculated ROE, subject only to rounding.</t>
  </si>
  <si>
    <t>I. Industry Average Comparisons - Company vs Industry Average (data tables and charts)</t>
  </si>
  <si>
    <t>Company FY24-25</t>
  </si>
  <si>
    <t>Industry Avg FY24-25</t>
  </si>
  <si>
    <t>Company FY25-26</t>
  </si>
  <si>
    <t>Industry Avg FY25-26</t>
  </si>
  <si>
    <t>D/E incl. Lease</t>
  </si>
  <si>
    <t>Return on Assets (ROA)</t>
  </si>
  <si>
    <t>Return on Equity (ROE)</t>
  </si>
  <si>
    <t>J. Supporting Calculations, Interpretations, Sources and Disclosures</t>
  </si>
  <si>
    <t>Reporting basis, units and sources - by company (disclosures for the input tables in the Industry Summary sheet)</t>
  </si>
  <si>
    <t>Berger Paints India Ltd. - Standalone financial statements, Annual Reports FY2024-25 and FY2025-26, ₹ Crore as reported. FY2023-24 opening / base figures are the comparative column of the FY2024-25 report. No restatement of the FY2024-25 comparatives was found.</t>
  </si>
  <si>
    <t>Asian Paints Ltd. - Standalone, ₹ Crore as reported. FY2024-25 figures are as originally published in the FY2024-25 Integrated Report; the FY2025-26 Annual Report restates the FY2024-25 comparatives for an amalgamation (e.g. total assets 26,675.48 vs 26,653.11; profit before tax 4,901.60 vs 4,897.18 - differences of about 0.1% or less) and the originally published figures are retained. Revenue (products + services + other operating revenue), Trade Payables (MSME + other creditors) and Total Expenses (reported Total Expenses + Finance Costs + Depreciation) are sums of reported lines. FY2023-24 opening / base: comparative column of the FY2024-25 Integrated Report.</t>
  </si>
  <si>
    <t>Indigo Paints Ltd. - Standalone, reported in ₹ lakh and converted to ₹ Crore (÷100). Cost of Materials Consumed is the P&amp;L line “Cost of raw materials and components consumed” (₹648.64 Cr FY2024-25; ₹662.20 Cr FY2025-26), the same narrow line used for the other four companies. Total current assets, total equity and total current liabilities are unlabelled subtotals in the printed statements (confirmed by summing the lines). No FY2024-25 restatement.</t>
  </si>
  <si>
    <t>JSW Dulux Ltd. (formerly Akzo Nobel India Ltd.) - Standalone, reported in ₹ million and converted to ₹ Crore (÷10). FY2024-25 Revenue (₹4,091.2 Cr) and Total Expenses (₹3,549.1 Cr) are as originally published; the FY2025-26 Annual Report presents the FY2024-25 comparatives after regrouping ₹21.9 Cr of promotional spends (₹4,069.3 Cr / ₹3,527.2 Cr) with profit before tax and profit after tax unchanged. FY2025-26 profit before tax includes a ₹1,846.3 Cr net exceptional gain (Note 26), mainly the profit on the slump sale of two divisions.</t>
  </si>
  <si>
    <t>Kansai Nerolac Paints Ltd. - Standalone, ₹ Crore as reported. FY2024-25 profit includes a ₹479.19 Cr exceptional gain (sale of the Lower Parel factory land) and FY2025-26 a ₹60.70 Cr net exceptional charge. FY2023-24 opening / base figures are the comparative column of the FY2024-25 report; only a generic regrouping note was found, with no quantified restatement.</t>
  </si>
  <si>
    <t>Interpretive Analysis</t>
  </si>
  <si>
    <t>Liquidity Analysis</t>
  </si>
  <si>
    <t>• Liquidity went up over the two years. Current ratio rose from 2.08x to 2.18x and quick ratio from 0.97x to 1.15x.
• Current assets grew 13.2% (₹4,133.80 Cr to ₹4,680.51 Cr) but current liabilities grew only 7.9% (₹1,985.76 Cr to ₹2,142.11 Cr).
• Inventory hardly changed (₹2,206.60 Cr to ₹2,225.60 Cr, +0.9%). The gain came from Other Current Assets (short-term investments etc.), which rose from ₹436.98 Cr to ₹1,118.69 Cr.
• Cash ratio fell from 0.18x to 0.10x. Cash plus other bank balances dropped from ₹365.85 Cr to ₹206.95 Cr, so cash was moved into short-term investments and not added to.
• Against the industry average Berger is lower on current ratio (2.08x and 2.18x vs 2.44x and 2.43x) and on quick ratio (0.97x and 1.15x vs 1.58x and 1.68x) in both years. Cash ratio went from above average (0.18x vs 0.15x) to below it (0.10x vs 0.12x).
• The average is pushed up mostly by Kansai Nerolac (current ratio 4.02x and 3.75x). Asian Paints alone is closer to Berger (current 2.30x and 2.46x, quick 1.36x and 1.77x).
• Short term: Berger can easily pay its current liabilities (current ratio above 2x, quick ratio now above 1x), so daily operations are safe.
• Long term: financial stability looks good, but the improvement is smaller than the two headline ratios suggest because cash cover went down.</t>
  </si>
  <si>
    <t>Profitability Analysis</t>
  </si>
  <si>
    <t>• Profit margin was almost flat. Net profit margin went from 10.60% to 10.51% and operating profit margin from 13.34% to 12.87%.
• ROA fell from 13.68% to 12.80% and ROE from 20.17% to 18.22% (both on average balances).
• Revenue grew 2.5% (₹10,169.22 Cr to ₹10,420.10 Cr) and PAT grew 1.7% (₹1,077.50 Cr to ₹1,095.66 Cr). Average assets grew 8.7% and average equity 12.5%, so the same profit is spread over a bigger base and the returns drop.
• FY2025-26 has a one-time charge of ₹49.99 Cr (new Labour Codes). Without it PBT would be ₹1,488.21 Cr instead of ₹1,438.22 Cr, which would be 4.0% above FY2024-25. So part of the dip is one-off.
• Against the industry average, ROE was close in FY2024-25 (20.17% vs 20.66%) but far below in FY2025-26 (18.22% vs 33.02%).
• The FY2025-26 average is inflated by JSW Dulux (ROE 103.02%), which comes from a one-off gain of ₹1,846.3 Cr. The average of the other four companies is 15.52%, which is lower than Berger's 18.22%.
• Kansai Nerolac and Asian Paints are also affected by one-offs. Kansai's ROE fell from 16.99% to 9.49%, but its PBT before exceptional items was nearly flat (₹907.42 Cr to ₹898.91 Cr). Asian Paints' PBT grew 17.1% as reported but 11.8% before exceptional items.
• Short term: profit is steady but not growing much. Long term: assets and equity are growing faster than profit, so Berger needs profit to catch up for the returns to recover.</t>
  </si>
  <si>
    <t>Leverage Analysis</t>
  </si>
  <si>
    <t>• Conventional debt-to-equity was almost zero in both years. Borrowings were only ₹0.39 Cr in FY2024-25 and nil in FY2025-26, against equity of ₹5,681.06 Cr and ₹6,342.90 Cr. So there was no real change.
• Including Ind AS 116 lease liabilities, debt-to-equity is 0.09x in FY2024-25 and 0.07x in FY2025-26. It fell because lease liabilities came down (₹492.10 Cr to ₹458.74 Cr) while equity grew.
• The industry average on the lease-inclusive basis is 0.05x in both years (0.0485x and 0.0535x), so Berger is more levered than average once leases are counted.
• On the conventional basis Berger looks debt free next to the average (0.0004x and 0.0114x).
• The industry average went up in FY2025-26 mainly because Asian Paints' borrowings rose from ₹39.40 Cr to ₹1,189.67 Cr (its lease-inclusive ratio went from 0.06x to 0.11x).
• Financial risk is low. Long term: Berger has a lot of room to borrow if it needs to expand. Short term: it has no bank borrowings, so working capital comes from its own cash flow and supplier credit.
• Lease liabilities are a small fixed obligation that should still be counted when judging risk.</t>
  </si>
  <si>
    <t>Inventory and Turnover Analysis</t>
  </si>
  <si>
    <t>• Inventory turnover here is Materials-Consumption Turnover (cost of materials consumed / average inventory), because COGS is not given as a single line for all the companies.
• Turnover fell from 2.49x to 2.36x. Cost of materials consumed fell 0.6% (₹5,252.79 Cr to ₹5,222.80 Cr) while average inventory rose 4.9% (₹2,113.02 Cr to ₹2,216.10 Cr).
• Inventory is about 48% of current assets (₹2,225.60 Cr out of ₹4,680.51 Cr). That is why the quick ratio (0.97x and 1.15x) is so much lower than the current ratio (2.08x and 2.18x).
• Slower turnover means stock takes longer to turn into sales, so more cash stays tied up. The liquidity gain came from short-term investments, not from inventory moving faster.
• Berger is below the industry average (3.05x and 2.97x) in both years. The gap is -0.57x and then -0.61x.
• Other companies: Asian Paints 2.41x to 2.37x, Kansai Nerolac 2.70x to 2.82x, JSW Dulux 3.56x to 3.18x, and Indigo Paints the highest at 4.11x in both years.
• Implication: Berger holds more stock than its peers for the same materials usage. If it brings stock down, it frees cash and can improve its cash ratio.</t>
  </si>
  <si>
    <t>Sources &amp; page citations (for the facts above):
• Berger Paints - Standalone Balance Sheet &amp; Statement of P&amp;L: FY2024-25 Annual Report, PDF p.153 (printed pp.302-303); FY2025-26 Annual Report, PDF p.150 (printed pp.296-297). All FY2024-25 figures verified to tie exactly between both reports (no restatement). FY2023-24 opening balances (for average-basis ratios) are the "As at 31 March 2024" comparative column on the same FY2024-25 AR page; no restatement found.
• Asian Paints - Standalone Balance Sheet &amp; Statement of P&amp;L: FY2024-25 Integrated Report, PDF p.177 (printed pp.350-351); FY2025-26 Annual Report, PDF p.184 (printed pp.364-365). FY2024-25 figures used here are as originally filed in the FY2024-25 report - the FY2025-26 report restates its FY2024-25 comparative column (~₹22 Cr higher Total Assets, ~₹3 Cr higher PAT) following the amalgamation of Asian Paints (Polymers) Pvt. Ltd. with the company, effective 31 March 2026; this is a disclosed restatement, not a data error (Directors’ Report, FY2025-26 AR, printed p.214-215). FY2023-24 opening balances (for average-basis ratios) are the "As at 31.03.2024" comparative column on the same FY2024-25 report page - that column is itself already restated for the earlier amalgamation of Sleek International Pvt Ltd and Maxbhumi Developers Ltd into Asian Paints (Ind AS 103, Note 36(A), printed p.~414); no quantified delta is disclosed, so the restated figures are used as printed.
• Kansai Nerolac - Standalone Balance Sheet &amp; Statement of P&amp;L: FY2024-25 Annual Report, PDF p.276 (printed p.274); FY2025-26 Annual Report, PDF p.272 (printed p.270). All FY2024-25 figures verified to tie exactly between both reports (no restatement). FY2023-24 opening balances (for average-basis ratios) are the "As at 31 March 2024" comparative column on the same FY2024-25 AR page; only a generic regrouping note found, no quantified restatement.
• Total Borrowings excludes Ind AS 116 lease liabilities throughout (Berger ₹492.10/₹458.74 Cr; Asian Paints ₹1,159.42/₹1,179.29 Cr; Kansai Nerolac ₹171.20/₹217.20 Cr, FY2024-25/FY2025-26) - none of the three companies carries material conventional (non-lease) long-term borrowings.
• Exceptional items excluded from PAT are not separately backed out below (DuPont uses reported PAT as-is); see Interpretive Analysis for how each company’s one-off items affect year-over-year comparability: Berger FY2025-26 carried a ₹49.99 Cr exceptional charge (new Labour Codes); Asian Paints carried ₹379.63 Cr (FY24-25) and ₹166.53 Cr (FY25-26) in subsidiary-impairment/derivative/labour-code exceptional items; Kansai Nerolac carried a +₹479.19 Cr exceptional gain (FY24-25, sale of Lower Parel factory land) and a -₹60.70 Cr exceptional net charge (FY25-26, wage-code revaluation + fire loss, partly offset by a Sri Lanka impairment reversal).
• Data verification: the annual-report figures above are cited to a printed page number (see citations above) and, where both years are reported, were cross-checked between each company’s FY2024-25 and FY2025-26 reports for consistency. Market Cap, ROCE and the Leaders &amp; Laggards figures (Stock Performance section) are taken directly from the student’s own Screener.in screenshots, dated as stated there - not independently re-sourced. Historical monthly closing prices (Stock Performance section, Apr-21 to Mar-26) were spot-checked directly against NSE’s own official historical-data tool (nseindia.com) at two dates spanning the five-year series - 31-Mar-2023 (roughly midway) and 31-Mar-2026 (the most recent month) - rather than a third-party aggregator. Asian Paints matched exactly at both dates (₹2,761.65 for Mar-23; this table’s Mar-26 figure of ₹2,165.20 is also within ~0.03% of an independent aggregator’s ₹2,164.50). Berger Paints’ raw NSE close for 31-Mar-2023 is ₹581.70 - which does not match this table’s ₹484.75 until Berger’s disclosed 1:5 bonus issue (ex-date 22-Sep-2023) is backed out: ₹581.70 × 5/6 = ₹484.75 exactly. That exact match confirms this table correctly carries a bonus-adjusted, continuous price series rather than raw unadjusted prices - the right convention for month-on-month returns computed across a corporate action, and the reason a naive comparison against raw NSE data would otherwise look wrong. The same check on Kansai Nerolac (1:2 bonus, ex-date 4-Jul-2023; raw NSE close for 31-Mar-2023 ₹386.80) gives an adjusted price of ₹257.87 against this table’s ₹256.73 - a ~0.4% residual consistent with NSE/BSE closing-price differences, not a data error. All three companies’ Mar-26 closes separately matched an independent aggregator (Arihant Capital) within ~0.1% (Berger ₹410.00 vs ₹410.20; Kansai Nerolac ₹167.22 vs ₹167.05). Re-verifying all ~180 remaining monthly data points individually is not practical by hand, but checking one date before and one after each company’s bonus issue validates the adjustment methodology itself, giving high confidence the full series is internally consistent.
• The same official-source check was extended to the other two companies in the Leaders &amp; Laggards table (Shalimar Paints, Retina Paints - together with Asian Paints, Berger and Kansai Nerolac above, the five companies this group compares against). Shalimar Paints (NSE: SHALPAINTS, BSE: 509874) - Market Cap: live NSE figure was ₹657.97 Cr at the time of this check (12 Oct 2026), close to this table’s ₹660.57 Cr for the same day; the ₹2.60 Cr gap is explained by intraday movement (the stock ranged ₹76.30-₹80.00 that session). Net Profit: BSE’s own Financial Results Summary gives Q1 FY2026-27 (Jun-26) PAT of -₹20.78 Cr and the year-ago quarter (Jun-25) at -₹16.66 Cr - both standalone. This table’s figures (-₹21.26 Cr and -₹16.77 Cr) are explicitly labelled consolidated, so the small gaps are a disclosed scope difference, not an error; the near-identical year-ago figures (-₹16.66 vs -₹16.77) indicate standalone and consolidated are close for Shalimar in most quarters. Retina Paints (BSE: 543902; not NSE-listed) - Market Cap: live BSE figure was ₹45.07 Cr at the time of this check (12 Oct 2026), down from this table’s ₹50.47 Cr for 9 Oct 2026 - fully explained by a -10.70% single-day drop on 12 Oct (₹50.47 Cr × (1 − 0.1070) = ₹45.07 Cr almost exactly). Net Profit: BSE’s Financial Results Summary gives the year-ago FY2024-25 figure as Mar-25 (₹0.95 Cr) + Sep-24 (₹0.35 Cr) = ₹1.30 Cr, an exact match to this table. For FY2025-26 itself, BSE’s own FY2025-26 column gives ₹0.64 Cr (Mar-26 ₹0.44 Cr + Sep-25 ₹0.20 Cr) against this table’s original ₹0.60 Cr (sourced from a Screener.in screenshot) - since BSE’s own filing is the more authoritative source, this table has been updated to ₹0.64 Cr and its Change % recomputed to -50.77% (was -53.85%) to match.</t>
  </si>
  <si>
    <t>Growth &amp; Profitability Interpretation</t>
  </si>
  <si>
    <t>• Revenue growth was 1.66% in FY2024-25 and 2.47% in FY2025-26. Berger was above the industry average (0.55% and 0.39%) in both years.
• The average is pulled down by Asian Paints in FY2024-25 (-5.36%) and JSW Dulux in FY2025-26 (-12.03%).
• Operating profit margin fell from 13.34% to 12.87% even though revenue grew. Total expenses rose 3.0% against revenue growth of 2.5%, so costs grew faster than sales.
• Operating profit margin was slightly below the industry average in both years (13.38% and 13.14%).</t>
  </si>
  <si>
    <t>Sources &amp; page citations (for the Growth &amp; Profitability figures above):
• Revenue from Operations, FY2023-24: ₹10,002.93 Cr - Berger Paints Integrated Annual Report 2023-24, Standalone Statement of Profit and Loss, printed p.292; cross-confirmed as the prior-year comparative in the Integrated Annual Report 2024-25, printed p.302 (identical figure in both).
• Total Expenses &amp; Finance Costs, FY2024-25: ₹8,860.69 Cr / ₹47.86 Cr - Integrated Annual Report 2024-25, Standalone P&amp;L, printed p.302 ("Total expense"; Finance costs, Note 40).
• Total Expenses &amp; Finance Costs, FY2025-26: ₹9,124.76 Cr / ₹45.60 Cr - Integrated Annual Report 2025-26, Standalone P&amp;L, printed p.296 ("Total expenses"; Finance costs, Note 40).</t>
  </si>
  <si>
    <t>5-Factor DuPont Interpretation</t>
  </si>
  <si>
    <t>• ROE fell from 20.17% to 18.22%.
• EBIT margin fell from 14.54% to 14.24%.
• Tax burden went up from 75.31% to 76.18% (a smaller share of profit went to tax). This offset most of the EBIT margin fall, which is why net profit margin looks almost flat (10.60% to 10.51%).
• Interest burden was steady (96.76% to 96.93%), so interest cost is not the reason.
• Asset turnover fell (1.29x to 1.22x) and equity multiplier fell (1.47x to 1.42x).
• So ROE fell because Berger used its assets less efficiently and used slightly less leverage. This matches the 3-factor result.</t>
  </si>
  <si>
    <t>Supporting Calculations - Ratios and DuPont components of all five companies</t>
  </si>
  <si>
    <t>Ratio - Berger Paints India Ltd.</t>
  </si>
  <si>
    <t>Check (0 = OK)</t>
  </si>
  <si>
    <t>Tax Burden (5-factor)</t>
  </si>
  <si>
    <t>Interest Burden (5-factor)</t>
  </si>
  <si>
    <t>EBIT Margin (5-factor)</t>
  </si>
  <si>
    <t xml:space="preserve">Industry Avg (analysis tables above) = AVERAGE of the five companies’ Part B figures for the same year, e.g. the Current Ratio Industry Avg is the mean of the five Current Ratios in Part B. </t>
  </si>
  <si>
    <t>Kansai Nerolac Paints Ltd. - Financial Analysis</t>
  </si>
  <si>
    <t>Kansai Nerolac</t>
  </si>
  <si>
    <t>The Industry Average columns for Net Profit Margin, Asset Turnover and Equity Multiplier are calculated as the simple arithmetic mean of the five companies’ respective ratios, including Kansai Nerolac Paints. Industry Average ROE (product) is the product of these three average components, not the arithmetic mean of the five companies’ ROEs. Therefore, it differs from the direct average ROE: 20.62% versus 20.66% in FY2024–25 and 29.13% versus 33.02% in FY2025–26. The difference is particularly pronounced in FY2025–26 because of JSW Dulux’s exceptional-item-inflated margin. The 5-Factor DuPont analysis below applies the same product-of-averages approach.</t>
  </si>
  <si>
    <t>• Liquidity went down slightly but is still very high. Current ratio fell from 4.02x to 3.75x and quick ratio stayed almost flat (2.77x to 2.75x).
• Current liabilities rose 16.4% (₹1,287.33 Cr to ₹1,498.19 Cr) while current assets rose only 8.5% (₹5,173.76 Cr to ₹5,614.72 Cr).
• Cash ratio fell from 0.20x to 0.13x. Cash plus other bank balances dropped from ₹260.24 Cr to ₹192.09 Cr, mainly because bank balances other than cash fell from ₹174.52 Cr to ₹7.97 Cr.
• Other Current Assets (short-term investments) rose from ₹2,029.11 Cr to ₹2,549.88 Cr, so the money was moved from bank deposits into investments and was not lost.
• Kansai is above the industry average on current ratio (2.44x and 2.43x) and quick ratio (1.58x and 1.68x) in both years, and it is the highest of the five companies on both.
• Short term: there is no problem paying bills. Long term: very safe, but holding this much in investments and inventory may not be the best use of capital for growth.</t>
  </si>
  <si>
    <t>• Profit margin fell a lot. Net profit margin went from 13.62% to 8.01%, ROA from 13.44% to 7.51% and ROE from 16.99% to 9.49%.
• Most of the fall comes from one-off items. FY2024-25 PBT (₹1,386.61 Cr) included a ₹479.19 Cr gain on the sale of the Lower Parel factory land. FY2025-26 PBT (₹838.21 Cr) had a net exceptional charge of ₹60.70 Cr.
• Without exceptional items, PBT was almost flat: ₹907.42 Cr to ₹898.91 Cr (-0.9%). So the core business barely changed.
• Against the industry average, ROE was 16.99% vs 20.66% in FY2024-25 and 9.49% vs 33.02% in FY2025-26. The big FY2025-26 gap is mostly because JSW Dulux's one-off gain lifts the average (JSW ROE 32.25% to 103.02%).
• The average of the four companies other than JSW Dulux is 15.52%, and Kansai (9.49%) is the lowest of those four.
• Short term: profit is flat apart from the one-offs. Long term: revenue grew only 3.2% (₹7,496.71 Cr to ₹7,739.23 Cr) and core profit did not grow, so growth looks slow. Its larger industrial and auto coatings mix could be a reason, but the workbook data does not prove this.</t>
  </si>
  <si>
    <t>• Conventional debt-to-equity was 0.00x in both years because Kansai has no borrowings.
• Including lease liabilities it rose a little, from 0.0269x to 0.0324x. Lease liabilities grew 26.9% (₹171.20 Cr to ₹217.20 Cr) while equity grew only 5.2% (₹6,366.23 Cr to ₹6,695.77 Cr).
• It is below the industry average (0.0485x and 0.0535x) in both years and is the second lowest of the five after Indigo Paints.
• The average is pulled up mainly by Asian Paints, which took on new borrowings in FY2025-26.
• Financial risk is very low. Long term: it can borrow a lot if it needs a big project or acquisition. Short term: working capital is funded from its own cash and investments, not bank lines.
• The capital structure is very safe, but the company is not using debt to fund growth.</t>
  </si>
  <si>
    <t>• Materials-Consumption Turnover improved from 2.70x to 2.82x. It is still below the industry average (3.05x and 2.97x) but the gap became smaller.
• Cost of materials consumed was nearly the same (₹4,357.87 Cr to ₹4,382.20 Cr, +0.6%) while average inventory fell 3.8% (₹1,612.88 Cr to ₹1,551.32 Cr). Closing inventory dropped from ₹1,609.71 Cr to ₹1,492.92 Cr.
• Less money is tied up in stock, which helps liquidity and shows better inventory control.
• The industry average slipped from 3.05x to 2.97x, mainly because of JSW Dulux (3.56x to 3.18x). So Kansai improved while the group on average got slower.
• This is one ratio where Kansai improved even though its reported profitability ratios fell.</t>
  </si>
  <si>
    <t>Sources &amp; page citations (for the facts above):
• Kansai Nerolac - Standalone Balance Sheet &amp; Statement of P&amp;L: FY2024-25 Annual Report, PDF p.276 (printed p.274); FY2025-26 Annual Report, PDF p.272 (printed p.270). All FY2024-25 figures verified to tie exactly between both reports (no restatement). FY2023-24 opening balances (for average-basis ratios) are the "As at 31 March 2024" comparative column on the same FY2024-25 AR page; only a generic regrouping note found, no quantified restatement.
• Berger Paints - Standalone Balance Sheet &amp; Statement of P&amp;L: FY2024-25 Annual Report, PDF p.153 (printed pp.302-303); FY2025-26 Annual Report, PDF p.150 (printed pp.296-297). All FY2024-25 figures verified to tie exactly between both reports (no restatement). FY2023-24 opening balances (for average-basis ratios) are the "As at 31 March 2024" comparative column on the same FY2024-25 AR page; no restatement found.
• Asian Paints - Standalone Balance Sheet &amp; Statement of P&amp;L: FY2024-25 Integrated Report, PDF p.177 (printed pp.350-351); FY2025-26 Annual Report, PDF p.184 (printed pp.364-365). FY2024-25 figures used here are as originally filed in the FY2024-25 report - the FY2025-26 report restates its FY2024-25 comparative column (~₹22 Cr higher Total Assets, ~₹3 Cr higher PAT) following the amalgamation of Asian Paints (Polymers) Pvt. Ltd. with the company, effective 31 March 2026; this is a disclosed restatement, not a data error (Directors’ Report, FY2025-26 AR, printed p.214-215). FY2023-24 opening balances (for average-basis ratios) are the "As at 31.03.2024" comparative column on the same FY2024-25 report page - that column is itself already restated for the earlier amalgamation of Sleek International Pvt Ltd and Maxbhumi Developers Ltd into Asian Paints (Ind AS 103, Note 36(A), printed p.~414); no quantified delta is disclosed, so the restated figures are used as printed.
• Exceptional items excluded from PAT are not separately backed out below (DuPont uses reported PAT as-is); see Interpretive Analysis for how each company’s one-off items affect year-over-year comparability: Berger FY2025-26 carried a ₹49.99 Cr exceptional charge (new Labour Codes); Asian Paints carried ₹379.63 Cr (FY24-25) and ₹166.53 Cr (FY25-26) in subsidiary-impairment/derivative/labour-code exceptional items; Kansai Nerolac carried a +₹479.19 Cr exceptional gain (FY24-25, sale of Lower Parel factory land) and a -₹60.70 Cr exceptional net charge (FY25-26, wage-code revaluation + fire loss, partly offset by a Sri Lanka impairment reversal).
• Data verification: the annual-report figures above are cited to a printed page number (see citations above) and, where both years are reported, were cross-checked between each company’s FY2024-25 and FY2025-26 reports for consistency. Market capitalisation, ROCE and the Leaders &amp; Laggards figures reuse the same group-wide dataset built for Berger Paints’ own workbook, where historical monthly closing prices (Apr-21 to Mar-26) were spot-checked directly against NSE’s own official historical-data tool at two dates spanning the five-year series (31-Mar-2023 and 31-Mar-2026), and the Leaders &amp; Laggards figures (Asian Paints, Berger Paints, Shalimar Paints, Retina Paints) were separately cross-checked against BSE’s own Financial Results Summary pages - see Berger Paints’ workbook for the full verification detail, not repeated here.</t>
  </si>
  <si>
    <t>• Revenue growth was 1.40% in FY2024-25 and 3.24% in FY2025-26, above the industry average (0.55% and 0.39%) in both years.
• Operating profit margin fell from 10.41% to 9.88% and was below the industry average in both years (13.38% and 13.14%).
• In FY2025-26 total expenses rose 3.9% against revenue growth of 3.2%, so costs grew faster than sales.
• Operating profit margin leaves out exceptional items, so this fall is not caused by the land sale gain. It shows genuinely weaker operating profitability.</t>
  </si>
  <si>
    <t>Sources &amp; page citations (for the Growth &amp; Profitability figures above):
• Revenue from Operations, FY2023-24: ₹7,393.30 Cr - Kansai Nerolac 104th Annual Report (FY2023-24), Standalone P&amp;L, printed p.258; cross-confirmed as the prior-year comparative in the 105th Annual Report (FY2024-25), printed p.274 (identical figure).
• Total Expenses &amp; Finance Cost, FY2024-25: ₹6,731.35 Cr / ₹15.09 Cr - 105th Annual Report, Standalone P&amp;L, printed p.274 (Finance Cost, Note 33).
• Total Expenses &amp; Finance Cost, FY2025-26: ₹6,992.78 Cr / ₹18.41 Cr - 106th Annual Report, Standalone P&amp;L, printed p.270 (Finance Cost, Note 34).</t>
  </si>
  <si>
    <t>• ROE fell from 16.99% to 9.49%. The main change is EBIT margin, which fell from 18.70% to 11.07%.
• EBIT margin here is worked out from PBT, so it includes exceptional items. FY2024-25 has the ₹479.19 Cr land sale gain and FY2025-26 has the ₹60.70 Cr net charge. So most of this fall is the one-off effect and not a fall in regular operations.
• Tax burden (73.65% to 73.95%) and interest burden (98.92% to 97.85%) hardly moved.
• Asset turnover fell a little (0.99x to 0.94x) and equity multiplier stayed at 1.26x.
• So the ROE fall comes from the profit side, not from tax, interest or leverage.</t>
  </si>
  <si>
    <t>Ratio - Kansai Nerolac Paints Ltd.</t>
  </si>
  <si>
    <t>Asian Paints Ltd. - Financial Analysis</t>
  </si>
  <si>
    <t>Asian Paints</t>
  </si>
  <si>
    <t>The Industry Average columns for Net Profit Margin, Asset Turnover and Equity Multiplier are calculated as the simple arithmetic mean of the five companies’ respective ratios, including Asian Paints. Industry Average ROE (product) is the product of these three average components, not the arithmetic mean of the five companies’ ROEs. Therefore, it differs from the direct average ROE: 20.62% versus 20.66% in FY2024–25 and 29.13% versus 33.02% in FY2025–26. The difference is particularly pronounced in FY2025–26 because of JSW Dulux’s exceptional-item-inflated margin. The 5-Factor DuPont analysis below applies the same product-of-averages approach.</t>
  </si>
  <si>
    <t>• Liquidity went up. Current ratio rose from 2.30x to 2.46x and quick ratio from 1.36x to 1.77x.
• Both were below the industry average in FY2024-25 (2.44x and 1.58x) and slightly above it in FY2025-26 (2.43x and 1.68x).
• Quick ratio rose more because inventory fell 17.5% (₹5,848.23 Cr to ₹4,824.74 Cr) while Other Current Assets (investments) rose from ₹5,039.88 Cr to ₹8,757.44 Cr.
• Cash ratio went from 0.03x to 0.06x, which is still well below the industry average (0.15x and 0.12x). Asian Paints keeps very little cash compared with its current liabilities.
• Its current ratio is lower than Kansai Nerolac's (4.02x and 3.75x) because its current liabilities are large, with trade payables of about ₹3,100 Cr and other current liabilities of ₹3,090.36 Cr to ₹3,550.67 Cr. This goes with its size.
• Short term: it can pay its bills comfortably. Long term: stable, with the low cash cover as the one weak point.</t>
  </si>
  <si>
    <t>• Profit margin improved. Net profit margin rose from 12.13% to 13.79%, ROA from 13.61% to 14.96% and ROE from 19.24% to 21.35%.
• Revenue grew 4.1% (₹29,552.65 Cr to ₹30,769.48 Cr) while PAT grew 18.4% (₹3,584.88 Cr to ₹4,244.17 Cr), so the gain is mainly from better margins and not just higher sales.
• Cost of materials consumed fell from ₹13,238.32 Cr to ₹12,670.79 Cr even though revenue rose, which helped the margin.
• Exceptional charges were ₹379.63 Cr in FY2024-25 and ₹166.53 Cr in FY2025-26. Reported PBT grew 17.1%, but before exceptional items it grew 11.8% (₹5,276.81 Cr to ₹5,900.13 Cr). The improvement is real either way.
• Against the industry average, ROE was slightly lower in FY2024-25 (19.24% vs 20.66%) and lower in FY2025-26 (21.35% vs 33.02%). The FY2025-26 gap is because JSW Dulux's one-off gain inflates the average.
• Compared with the average of the other four companies (15.52%), Asian Paints has the highest ROE in FY2025-26.
• Short term: profit is growing well. Long term: rising margins and returns on an already large base point to a strong position.</t>
  </si>
  <si>
    <t>• Conventional debt-to-equity rose from 0.0021x to 0.0572x. Asian Paints took new borrowings in FY2025-26: total borrowings went from ₹39.40 Cr to ₹1,189.67 Cr (short-term borrowings from ₹2.15 Cr to ₹340.73 Cr).
• The level is still low compared with equity of ₹20,781.56 Cr.
• Including leases, debt-to-equity rose from 0.0632x to 0.1140x, about 1.8 times higher. The industry average is 0.0485x and 0.0535x, so Asian Paints is above average in both years and the gap widened.
• Lease liabilities stayed about the same (₹1,159.42 Cr to ₹1,179.29 Cr), so the rise is from the new borrowings.
• Financial risk is higher than before but still low.
• Long term: it still has plenty of room to borrow. Short term: the new short-term borrowings show it now uses some debt for working capital, and the reason is not given in the workbook.</t>
  </si>
  <si>
    <t>• Materials-Consumption Turnover was almost flat at 2.41x and 2.37x. It is below the industry average (3.05x and 2.97x) in both years. The gap was -0.65x and -0.59x.
• Cost of materials consumed fell 4.3% (₹13,238.32 Cr to ₹12,670.79 Cr) and average inventory fell 3.0% (₹5,501.91 Cr to ₹5,336.49 Cr), so the ratio moved only slightly.
• Closing inventory dropped sharply by ₹1,023.49 Cr (₹5,848.23 Cr to ₹4,824.74 Cr). This released cash and is the main reason the quick ratio improved.
• Revenue grew in the same year, so the lower stock does not look like a demand problem.
• Its lower turnover than the smaller peers may be because of its large scale and wide product range, but the data does not prove this.</t>
  </si>
  <si>
    <t>Sources &amp; page citations (for the facts above):
• Asian Paints - Standalone Balance Sheet &amp; Statement of P&amp;L: FY2024-25 Integrated Report, PDF p.177 (printed pp.350-351); FY2025-26 Annual Report, PDF p.184 (printed pp.364-365). FY2024-25 figures used here are as originally filed in the FY2024-25 report - the FY2025-26 report restates its FY2024-25 comparative column (~₹22 Cr higher Total Assets, ~₹3 Cr higher PAT) following the amalgamation of Asian Paints (Polymers) Pvt. Ltd. with the company, effective 31 March 2026; this is a disclosed restatement, not a data error (Directors’ Report, FY2025-26 AR, printed p.214-215). FY2023-24 opening balances (for average-basis ratios) are the "As at 31.03.2024" comparative column on the same FY2024-25 report page - that column is itself already restated for the earlier amalgamation of Sleek International Pvt Ltd and Maxbhumi Developers Ltd into Asian Paints (Ind AS 103, Note 36(A), printed p.~414); no quantified delta is disclosed, so the restated figures are used as printed.
• Berger Paints - Standalone Balance Sheet &amp; Statement of P&amp;L: FY2024-25 Annual Report, PDF p.153 (printed pp.302-303); FY2025-26 Annual Report, PDF p.150 (printed pp.296-297). All FY2024-25 figures verified to tie exactly between both reports (no restatement). FY2023-24 opening balances (for average-basis ratios) are the "As at 31 March 2024" comparative column on the same FY2024-25 AR page; no restatement found.
• Kansai Nerolac - Standalone Balance Sheet &amp; Statement of P&amp;L: FY2024-25 Annual Report, PDF p.276 (printed p.274); FY2025-26 Annual Report, PDF p.272 (printed p.270). All FY2024-25 figures verified to tie exactly between both reports (no restatement). FY2023-24 opening balances (for average-basis ratios) are the "As at 31 March 2024" comparative column on the same FY2024-25 AR page; only a generic regrouping note found, no quantified restatement.
• Exceptional items excluded from PAT are not separately backed out below (DuPont uses reported PAT as-is); see Interpretive Analysis for how each company’s one-off items affect year-over-year comparability: Berger FY2025-26 carried a ₹49.99 Cr exceptional charge (new Labour Codes); Asian Paints carried ₹379.63 Cr (FY24-25) and ₹166.53 Cr (FY25-26) in subsidiary-impairment/derivative/labour-code exceptional items; Kansai Nerolac carried a +₹479.19 Cr exceptional gain (FY24-25, sale of Lower Parel factory land) and a -₹60.70 Cr exceptional net charge (FY25-26, wage-code revaluation + fire loss, partly offset by a Sri Lanka impairment reversal).
• Data verification: the annual-report figures above are cited to a printed page number (see citations above) and, where both years are reported, were cross-checked between each company’s FY2024-25 and FY2025-26 reports for consistency. Market capitalisation, ROCE and the Leaders &amp; Laggards figures reuse the same group-wide dataset built for Berger Paints’ own workbook, where historical monthly closing prices (Apr-21 to Mar-26) were spot-checked directly against NSE’s own official historical-data tool at two dates spanning the five-year series (31-Mar-2023 and 31-Mar-2026), and the Leaders &amp; Laggards figures (Asian Paints, Berger Paints, Shalimar Paints, Retina Paints) were separately cross-checked against BSE’s own Financial Results Summary pages - see Berger Paints’ workbook for the full verification detail, not repeated here.</t>
  </si>
  <si>
    <t>• Revenue fell 5.36% in FY2024-25 (against ₹31,226.98 Cr in FY2023-24) and then grew 4.12% in FY2025-26. Industry average growth was 0.55% and 0.39%.
• Operating profit margin rose from 15.74% to 16.56%. It is the highest of the five companies in both years, even though revenue fell in FY2024-25.
• This suggests the margin gain came from costs and product mix and not from revenue growth. It is an observed pattern, not a proven cause.</t>
  </si>
  <si>
    <t>Sources &amp; page citations (for the Growth &amp; Profitability figures above):
• Revenue from Operations, FY2023-24: ₹31,226.98 Cr, used here as the FY2024-25 Integrated Report's own prior-year comparative column (printed p.349; Note 22A, printed p.393), for classification consistency with the FY2024-25 figure used throughout this sheet. Note: the FY2023-24 Integrated Report itself originally reported this figure as ₹30,850.12 Cr (printed p.321 and p.364, Note 22A) - a ₹376.86 Cr difference most likely reflecting an Ind AS revenue-classification regrouping between the two report vintages; no explanatory note was found in either report, so both figures are disclosed here for transparency. Using the alternative (as-originally-reported) figure instead would change FY2024-25 Revenue Growth from -5.36% to -4.21% - the direction and conclusion are unchanged either way.
• Total Expenses, Finance Costs &amp; Depreciation, FY2024-25: ₹24,000.37 Cr (excl. Finance Costs/D&amp;A, as reported) + ₹143.77 Cr Finance Costs + ₹901.85 Cr Depreciation &amp; Amortisation = ₹25,045.99 Cr full total - FY2024-25 Integrated Report, Standalone P&amp;L, printed p.349.
• Total Expenses, Finance Costs &amp; Depreciation, FY2025-26: ₹24,589.01 Cr + ₹127.35 Cr + ₹1,085.65 Cr = ₹25,802.01 Cr full total - FY2025-26 Integrated Report, Standalone P&amp;L, printed p.365.
• Note on comparability: Asian Paints' own Standalone P&amp;L format discloses an explicit EBITDA subtotal, so its reported "Total Expenses" line excludes Finance Costs and Depreciation &amp; Amortisation - unlike the other four companies' single, all-inclusive Total Expenses figure. Both were added back here so Asian Paints' Operating Profit is derived on the same full-Total-Expenses basis as the rest of this workbook (see the Growth &amp; Profitability methodology note above).</t>
  </si>
  <si>
    <t>• ROE rose from 19.24% to 21.35%. The main driver is EBIT margin, which went from 17.06% to 19.05%.
• Tax burden improved (73.20% to 74.02%) and interest burden improved (97.15% to 97.83%) as finance costs fell from ₹143.77 Cr to ₹127.35 Cr.
• Asset turnover fell slightly (1.12x to 1.08x) and equity multiplier was about the same (1.41x to 1.43x).
• EBIT margin here comes from PBT, so it includes other income and exceptional items. Asian Paints had exceptional charges in both years (₹379.63 Cr and ₹166.53 Cr), and they were smaller in FY2025-26, so part of the gain comes from that.
• Even before exceptional items PBT grew 11.8%, so the improvement is genuine and led by the operating margin.</t>
  </si>
  <si>
    <t>Ratio - Asian Paints Ltd.</t>
  </si>
  <si>
    <t>JSW Dulux Ltd. (formerly Akzo Nobel India Ltd.) - Financial Analysis</t>
  </si>
  <si>
    <t>JSW Dulux</t>
  </si>
  <si>
    <t>The Industry Average columns for Net Profit Margin, Asset Turnover and Equity Multiplier are calculated as the simple arithmetic mean of the five companies’ respective ratios, including JSW Dulux. Industry Average ROE (product) is the product of these three average components, not the arithmetic mean of the five companies’ ROEs. Therefore, it differs from the direct average ROE: 20.62% versus 20.66% in FY2024–25 and 29.13% versus 33.02% in FY2025–26. The difference is particularly pronounced in FY2025–26 because of JSW Dulux’s exceptional-item-inflated margin. The 5-Factor DuPont analysis below applies the same product-of-averages approach.</t>
  </si>
  <si>
    <t>• Liquidity improved. Current ratio rose from 1.38x to 1.52x, quick ratio from 0.96x to 1.01x and cash ratio from 0.21x to 0.23x.
• Even so, JSW Dulux is the least liquid of the five on current ratio and quick ratio in both years (industry average current 2.44x and 2.43x, quick 1.58x and 1.68x).
• Current liabilities fell 21.8% (₹1,450.2 Cr to ₹1,134.3 Cr), mainly trade payables (₹956.6 Cr to ₹753.6 Cr). Current assets fell 14.0% (₹2,000.4 Cr to ₹1,720.4 Cr).
• Both sides shrank after the divestment of two divisions in FY2025-26, but liabilities fell more, so the ratios went up.
• Short term: quick ratio is only just above 1x, so headroom is thinner than Berger or Kansai Nerolac. Long term: stability has improved but now depends on the smaller business holding up.</t>
  </si>
  <si>
    <t>• Net profit margin jumped from 10.48% to 53.28%, ROA from 14.77% to 57.85% and ROE from 32.25% to 103.02%. This is a one-off gain, not better operations.
• FY2025-26 PBT of ₹2,299.7 Cr includes a net exceptional gain of ₹1,846.3 Cr, mostly from the slump sale of the Powder Coatings and International Research Centre divisions.
• PBT before exceptional items actually fell 20.4%, from ₹569.7 Cr to ₹453.4 Cr. Revenue fell 12.0% (₹4,091.2 Cr to ₹3,599.2 Cr) because the sold divisions left the business.
• So underlying profitability got weaker. The FY2024-25 ROE of 32.25% is the more realistic number.
• The industry average ROE (20.66% and 33.02%) is lifted by this gain. The average of the other four companies is 15.52% in FY2025-26.
• Short term: the reported profit is a one-time boost. Long term: JSW Dulux is a smaller company with lower revenue and profit, so growth has to come from the remaining business.</t>
  </si>
  <si>
    <t>• Conventional debt-to-equity was 0.00x in both years because JSW Dulux has no borrowings.
• Including leases it fell from 0.0467x to 0.0330x. Equity rose about 80% (₹1,328.7 Cr to ₹2,394.2 Cr), mainly because of the retained gain from the divestment, while lease liabilities rose from ₹62.1 Cr to ₹79.1 Cr.
• The fall is only because equity became bigger. The company did not repay anything.
• The industry average is 0.0485x and 0.0535x. JSW Dulux went from about equal to the average to below it. Indigo Paints and Kansai Nerolac are lower in both years.
• Financial risk is low. Long term: a lot of room to borrow. Short term: working capital is funded from its own money.</t>
  </si>
  <si>
    <t>• Materials-Consumption Turnover fell from 3.56x to 3.18x, but it is still above the industry average (3.05x and 2.97x) in both years.
• Cost of materials consumed fell 13.6% (₹2,162.5 Cr to ₹1,868.2 Cr) while average inventory fell only 3.3% (₹608.1 Cr to ₹587.9 Cr). Closing inventory went from ₹604.7 Cr to ₹571.1 Cr.
• Materials usage fell faster than stock. This fits with the divestment, where the sold divisions' usage left the accounts before their stock was cleared, but the workbook does not prove this.
• Implication: stock moved more slowly and tied up a bit more cash, but liquidity still improved overall (see above). It is worth watching whether turnover recovers.</t>
  </si>
  <si>
    <t>Sources &amp; page citations (for the facts above):
• JSW Dulux (formerly Akzo Nobel India) - Standalone Balance Sheet &amp; P&amp;L: FY2025-26 AR, PDF p.58 (printed pp.112-113), both years shown side by side. FY2024-25 figures as restated in the FY2026 AR differ from the FY2024-25 AR’s own figures only by a Rs21.9 Cr Revenue/Other-Expenses reclassification (gross-up of promotional spend) - PBT, tax and PAT are identical between both reports for FY2024-25, confirmed not a profit restatement. FY2023-24 opening balances from the FY2024-25 AR’s comparative column, PDF p.114 (printed p.112); cross-checked against the FY2023-24 AR’s own figures - identical. FY2025-26 PBT/PAT include a Rs1,846.3 Cr one-off net exceptional gain (slump sale of two divested divisions, approx. 85% of the total) - see Interpretive Analysis for why this makes FY25-26 non-comparable to FY24-25 without adjustment. JSW Dulux carries zero interest-bearing borrowings in either year (only Ind AS 116 lease liabilities, reported separately).
• Berger Paints - Standalone Balance Sheet &amp; Statement of P&amp;L: FY2024-25 Annual Report, PDF p.153 (printed pp.302-303); FY2025-26 Annual Report, PDF p.150 (printed pp.296-297). All FY2024-25 figures verified to tie exactly between both reports (no restatement). FY2023-24 opening balances (for average-basis ratios) are the "As at 31 March 2024" comparative column on the same FY2024-25 AR page; no restatement found.
• Kansai Nerolac - Standalone Balance Sheet &amp; Statement of P&amp;L: FY2024-25 Annual Report, PDF p.276 (printed p.274); FY2025-26 Annual Report, PDF p.272 (printed p.270). All FY2024-25 figures verified to tie exactly between both reports (no restatement). FY2023-24 opening balances (for average-basis ratios) are the "As at 31 March 2024" comparative column on the same FY2024-25 AR page; only a generic regrouping note found, no quantified restatement.
• Exceptional items excluded from PAT are not separately backed out below (DuPont uses reported PAT as-is); see Interpretive Analysis for how each company’s one-off items affect year-over-year comparability: Berger FY2025-26 carried a ₹49.99 Cr exceptional charge (new Labour Codes); Asian Paints carried ₹379.63 Cr (FY24-25) and ₹166.53 Cr (FY25-26) in subsidiary-impairment/derivative/labour-code exceptional items; Kansai Nerolac carried a +₹479.19 Cr exceptional gain (FY24-25, sale of Lower Parel factory land) and a -₹60.70 Cr exceptional net charge (FY25-26, wage-code revaluation + fire loss, partly offset by a Sri Lanka impairment reversal).
• JSW Dulux FY2025-26 exceptional items: +Rs1,846.3 Cr net gain, dominated by profit on slump sale of Powder Coatings + International Research Centre divisions to an Akzo Nobel group entity (~Rs1,892.5 Cr gross), partly offset by retention incentive (-Rs13.8 Cr), impairment (-Rs7.9 Cr) and a new-Labour-Codes Ind AS 19 charge (-Rs31.6 Cr); FY2024-25 = nil.
• Data verification: the annual-report figures above are cited to a printed page number (see citations above) and, where both years are reported, were cross-checked between each company’s FY2024-25 and FY2025-26 reports for consistency. Market capitalisation, ROCE and the Leaders &amp; Laggards figures reuse the same group-wide dataset built for Berger Paints’ own workbook, where historical monthly closing prices (Apr-21 to Mar-26) were spot-checked directly against NSE’s own official historical-data tool at two dates spanning the five-year series (31-Mar-2023 and 31-Mar-2026), and the Leaders &amp; Laggards figures (Asian Paints, Berger Paints, Shalimar Paints, Retina Paints) were separately cross-checked against BSE’s own Financial Results Summary pages - see Berger Paints’ workbook for the full verification detail, not repeated here.</t>
  </si>
  <si>
    <t>• Revenue grew 3.27% in FY2024-25 but fell 12.03% in FY2025-26 after the divestment. Industry average growth was 0.55% and 0.39%.
• Operating profit margin fell from 13.49% to 12.01%.
• Operating profit margin leaves out the exceptional gain, so it is a better measure for this company than net profit margin (10.48% to 53.28%).
• On this basis underlying profitability weakened in FY2025-26. The ownership change and rebrand happened around the same time, but the data does not show that it is the cause.</t>
  </si>
  <si>
    <t>Sources &amp; page citations (for the Growth &amp; Profitability figures above):
• Revenue from Operations, FY2023-24: ₹3,961.60 Cr (₹39,616 million) - Akzo Nobel India Ltd Annual Report FY2023-24, Standalone P&amp;L, printed p.103; cross-confirmed as the prior-year comparative in the FY2024-25 Annual Report, printed p.113 (identical figure).
• Total Expenses &amp; Finance Costs, FY2024-25: ₹3,549.10 Cr / ₹9.80 Cr - Akzo Nobel India Ltd Annual Report FY2024-25, Standalone P&amp;L, printed p.113. (The FY2025-26 Annual Report's restated comparative shows Total Expenses as ₹3,527.20 Cr for this year - a small reclassification; the FY2024-25 report's own, as-filed figure is used here as the authoritative FY2024-25 basis, consistent with this sheet's other FY2024-25 figures.)
• Total Expenses &amp; Finance Costs, FY2025-26: ₹3,179.10 Cr / ₹12.10 Cr - JSW Dulux Limited Annual Report FY2025-26, Standalone P&amp;L, printed p.113.
• Original figures reported in ₹ million in the source statements; converted to ₹ Crore (÷10), consistent with this sheet's existing convention.</t>
  </si>
  <si>
    <t>• ROE moved from 32.25% to 103.02%. EBIT margin jumped from 14.16% to 64.23%, because EBIT here is PBT plus finance costs and PBT includes the ₹1,846.3 Cr exceptional gain.
• Tax burden rose from 75.23% to 83.39%. This may be because the gain was taxed at a lower rate, but the workbook does not prove it.
• Interest burden went from 98.31% to 99.48% only because finance costs are small compared with the much larger PBT.
• Asset turnover fell (1.41x to 1.09x) and equity multiplier fell (2.18x to 1.78x). So the ROE jump is not due to better asset use or more leverage.
• Conclusion: the FY2025-26 ROE is a one-off. FY2024-25 (ROE 32.25%, EBIT margin 14.16%) is the more representative result.</t>
  </si>
  <si>
    <t>Ratio - JSW Dulux Ltd. (formerly Akzo Nobel India Ltd.)</t>
  </si>
  <si>
    <t>Indigo Paints Ltd. - Financial Analysis</t>
  </si>
  <si>
    <t>Indigo Paints</t>
  </si>
  <si>
    <t>The Industry Average columns for Net Profit Margin, Asset Turnover and Equity Multiplier are calculated as the simple arithmetic mean of the five companies’ respective ratios, including Indigo Paints. Industry Average ROE (product) is the product of these three average components, not the arithmetic mean of the five companies’ ROEs. Therefore, it differs from the direct average ROE: 20.62% versus 20.66% in FY2024–25 and 29.13% versus 33.02% in FY2025–26. The difference is particularly pronounced in FY2025–26 because of JSW Dulux’s exceptional-item-inflated margin. The 5-Factor DuPont analysis below applies the same product-of-averages approach.</t>
  </si>
  <si>
    <t>• Liquidity went down a little. Current ratio fell from 2.40x to 2.23x and quick ratio from 1.84x to 1.72x, but both are still above 1x.
• Against the industry average, current ratio went from about equal (2.40x vs 2.44x) to below (2.23x vs 2.43x). Quick ratio stayed above average (1.84x vs 1.58x and 1.72x vs 1.68x).
• Current liabilities grew 27.3% (₹269.48 Cr to ₹342.92 Cr), faster than current assets at 18.1% (₹646.29 Cr to ₹763.17 Cr). Trade payables rose from ₹165.29 Cr to ₹199.44 Cr.
• Cash ratio fell from 0.14x to 0.08x as cash dropped from ₹37.09 Cr to ₹28.54 Cr.
• Indigo has no borrowings, so there is no debt repayment competing for the cash.
• Short term: still comfortable. Long term: stable, but the cash cover should be watched if growth continues.</t>
  </si>
  <si>
    <t>• Profit margin fell a little. Net profit margin went from 11.27% to 10.93%, ROA from 11.16% to 9.93% and ROE from 14.66% to 13.04%.
• Revenue grew 4.1% (₹1,277.19 Cr to ₹1,330.12 Cr) but PAT grew only 1.0% (₹143.94 Cr to ₹145.39 Cr).
• Operating profit margin actually improved (13.92% to 14.38%). The weaker bottom line is partly a ₹5.85 Cr exceptional charge in FY2025-26. PBT before it was ₹201.12 Cr, up 4.6% from ₹192.23 Cr, which is close to revenue growth.
• ROA and ROE fell mostly because average assets grew 13.5% while PAT grew 1.0%.
• Against the industry average, ROE was lower in FY2024-25 (14.66% vs 20.66%) and in FY2025-26 (13.04% vs 33.02%). The FY2025-26 gap is mostly due to JSW Dulux's one-off gain. The average of the four companies excluding JSW Dulux is 15.52%.
• Short term: profit is still growing slightly. Long term: Indigo is a smaller company still building up its asset base, and returns will recover only when the new assets start earning more.</t>
  </si>
  <si>
    <t>• Conventional debt-to-equity was 0.00x in both years because Indigo has no borrowings.
• Including leases it fell from 0.0188x to 0.0155x. Lease liabilities eased from ₹19.70 Cr to ₹18.38 Cr while equity grew from ₹1,048.14 Cr to ₹1,182.35 Cr.
• This is well below the industry average (0.0485x and 0.0535x). Indigo is the least levered of the five in both years.
• Financial risk is very low. Growth so far has been funded from equity and its own cash flow.
• Long term: a lot of room to borrow if it wants to expand faster. Short term: working capital is funded from its own resources.</t>
  </si>
  <si>
    <t>• Materials-Consumption Turnover was practically unchanged at 4.11x in both years (4.114x and 4.110x). It is the highest of the five and about 35% and 38% above the industry average (3.05x and 2.97x).
• Cost of materials consumed rose 2.1% (₹648.64 Cr to ₹662.20 Cr) and average inventory rose 2.2% (₹157.67 Cr to ₹161.10 Cr), so the ratio stayed the same.
• Closing inventory rose 16.1% (₹149.13 Cr to ₹173.07 Cr) in FY2025-26, much faster than materials usage.
• Inventory is only about 23% of current assets (₹173.07 Cr of ₹763.17 Cr), which is why the quick ratio is close to the current ratio.
• Implication: good stock control supports liquidity, but the closing inventory should be watched if it keeps rising faster than usage.</t>
  </si>
  <si>
    <t>Sources &amp; page citations (for the facts above):
• Indigo Paints - Standalone Balance Sheet &amp; P&amp;L: 26th AR (FY2025-26), PDF p.124-125 (printed pp.148-149), both years shown side by side; FY2024-25 figures verified identical to 25th AR’s own-year column (PDF p.140-141, printed pp.138-139) - no restatement. FY2023-24 opening balances (comparative column) from 25th AR, PDF p.140 (printed p.138); cross-checked against 24th AR’s own FY2023-24 column - identical, no restatement. Indigo discloses no single Cost-of-Materials line; COGS proxy here is Raw Materials Consumed + Purchases of Traded Goods + Change in Inventories (3 lines summed, each individually disclosed). Indigo carries zero interest-bearing borrowings in all years examined (CARO report confirms no loans/borrowings).
• Berger Paints - Standalone Balance Sheet &amp; Statement of P&amp;L: FY2024-25 Annual Report, PDF p.153 (printed pp.302-303); FY2025-26 Annual Report, PDF p.150 (printed pp.296-297). All FY2024-25 figures verified to tie exactly between both reports (no restatement). FY2023-24 opening balances (for average-basis ratios) are the "As at 31 March 2024" comparative column on the same FY2024-25 AR page; no restatement found.
• Asian Paints - Standalone Balance Sheet &amp; Statement of P&amp;L: FY2024-25 Integrated Report, PDF p.177 (printed pp.350-351); FY2025-26 Annual Report, PDF p.184 (printed pp.364-365). FY2024-25 figures used here are as originally filed in the FY2024-25 report - the FY2025-26 report restates its FY2024-25 comparative column (~₹22 Cr higher Total Assets, ~₹3 Cr higher PAT) following the amalgamation of Asian Paints (Polymers) Pvt. Ltd. with the company, effective 31 March 2026; this is a disclosed restatement, not a data error (Directors’ Report, FY2025-26 AR, printed p.214-215). FY2023-24 opening balances (for average-basis ratios) are the "As at 31.03.2024" comparative column on the same FY2024-25 report page - that column is itself already restated for the earlier amalgamation of Sleek International Pvt Ltd and Maxbhumi Developers Ltd into Asian Paints (Ind AS 103, Note 36(A), printed p.~414); no quantified delta is disclosed, so the restated figures are used as printed.
• Exceptional items excluded from PAT are not separately backed out below (DuPont uses reported PAT as-is); see Interpretive Analysis for how each company’s one-off items affect year-over-year comparability: Berger FY2025-26 carried a ₹49.99 Cr exceptional charge (new Labour Codes); Asian Paints carried ₹379.63 Cr (FY24-25) and ₹166.53 Cr (FY25-26) in subsidiary-impairment/derivative/labour-code exceptional items; Kansai Nerolac carried a +₹479.19 Cr exceptional gain (FY24-25, sale of Lower Parel factory land) and a -₹60.70 Cr exceptional net charge (FY25-26, wage-code revaluation + fire loss, partly offset by a Sri Lanka impairment reversal).
• Data verification: the annual-report figures above are cited to a printed page number (see citations above) and, where both years are reported, were cross-checked between each company’s FY2024-25 and FY2025-26 reports for consistency. Market capitalisation, ROCE and the Leaders &amp; Laggards figures reuse the same group-wide dataset built for Berger Paints’ own workbook, where historical monthly closing prices (Apr-21 to Mar-26) were spot-checked directly against NSE’s own official historical-data tool at two dates spanning the five-year series (31-Mar-2023 and 31-Mar-2026), and the Leaders &amp; Laggards figures (Asian Paints, Berger Paints, Shalimar Paints, Retina Paints) were separately cross-checked against BSE’s own Financial Results Summary pages - see Berger Paints’ workbook for the full verification detail, not repeated here.
• Cost of Materials Consumed (row 337): the Standalone P&amp;L line “Cost of raw materials and components consumed” - ₹64,863.85 lakh (FY2024-25) and ₹66,220.01 lakh (FY2025-26), 26th AR printed p.149 / Note 20 - converted to ₹ Crore (÷100) as ₹648.64 Cr and ₹662.20 Cr. This is the same narrow line used for the other four companies. An earlier draft used the BRSR aggregate “cost of goods or services procured” (₹70,645.85 / ₹68,309.71 lakh, which also includes purchases of traded goods and inventory changes); it was replaced for like-for-like comparability. Impact: Indigo’s Materials-Consumption Turnover moves from 4.33x / 4.39x to 4.11x / 4.11x and the five-company industry average from 3.10x / 3.02x to 3.05x / 2.97x.</t>
  </si>
  <si>
    <t>• Revenue growth was 1.78% in FY2024-25 and 4.14% in FY2025-26, above the industry average (0.55% and 0.39%) in both years.
• Operating profit margin improved from 13.92% to 14.38% and was above the industry average in both years (13.38% and 13.14%).
• So operations got better. The fall in net profit margin, ROA and ROE (see profitability above) comes from the bigger asset base and the small exceptional charge, not from weaker operations.</t>
  </si>
  <si>
    <t>Sources &amp; page citations (for the Growth &amp; Profitability figures above):
• Revenue from Operations, FY2023-24: ₹1,254.86 Cr (₹1,25,486.11 Lakh) - Indigo Paints 24th Annual Report (FY2023-24), Standalone P&amp;L, printed p.143.
• Total Expenses &amp; Finance Costs, FY2024-25: ₹1,102.42 Cr / ₹2.96 Cr - 25th Annual Report, Standalone P&amp;L, printed p.139 (Finance costs, Note 23).
• Total Expenses &amp; Finance Costs, FY2025-26: ₹1,141.21 Cr / ₹2.39 Cr - 26th Annual Report, Standalone P&amp;L, printed p.149 (Finance costs, Note 23).
• Original figures reported in ₹ Lakh in the source statements; converted to ₹ Crore (÷100), consistent with this sheet's existing convention.</t>
  </si>
  <si>
    <t>• ROE fell from 14.66% to 13.04%. The biggest reason is lower asset turnover (0.99x to 0.91x).
• EBIT margin fell slightly from 15.28% to 14.86% (it includes other income and the small exceptional charge).
• Tax burden (74.88% to 74.46%), interest burden (98.48% to 98.79%) and equity multiplier (1.31x in both years) were stable.
• So the ROE fell because revenue (+4.1%) grew slower than total assets (+15.6%). It is an efficiency effect, not a tax, interest or leverage problem.</t>
  </si>
  <si>
    <t>Ratio - Indigo Paints Ltd.</t>
  </si>
  <si>
    <t>Paints &amp; Coatings Industry - Combined Industry Summary</t>
  </si>
  <si>
    <t>Berger Paints  |  Kansai Nerolac  |  Asian Paints  |  Indigo Paints  |  JSW Dulux (formerly Akzo Nobel India)   -   FY2021-22 to FY2025-26</t>
  </si>
  <si>
    <t>Ratios, DuPont components and Industry Averages on this sheet are live Excel formulas calculated on this sheet from the “Five-Company Financial Data - Local Calculation Support” tables in section 1 at the top of the sheet; no formula refers to any company worksheet, so this sheet calculates independently. Company-profile, market-capitalisation, share-price and Leaders &amp; Laggards items are static copies of the verified values on each company sheet (see each company sheet's Sources &amp; page citations for the primary-source evidence). Unavailable or non-comparable figures are labelled "n/a" or "not separately verified" rather than estimated.</t>
  </si>
  <si>
    <t>1. Five-Company Financial Data - Local Calculation Support</t>
  </si>
  <si>
    <t>Self-contained sheet: the five tables below (side by side) hold the validated standalone book values (₹ Crore) for FY2024-25 and FY2025-26 plus FY2023-24 opening / base figures. Blue = input. Every ratio, DuPont component and Industry Average on this sheet is a live formula calculated from these tables; no formula refers to any company worksheet. Scroll right for all five tables (column A stays in view).</t>
  </si>
  <si>
    <t>Five-company book values (₹ Crore, Standalone) - Berger Paints  |  Asian Paints  |  Indigo Paints  |  JSW Dulux  |  Kansai Nerolac  -  one table per company, side by side</t>
  </si>
  <si>
    <t>Line item (₹ Crore)</t>
  </si>
  <si>
    <t>JSW Dulux Ltd. (formerly Akzo Nobel India Ltd.)</t>
  </si>
  <si>
    <t>Reporting basis (full notes in section J)</t>
  </si>
  <si>
    <t>₹ Crore as reported (standalone)</t>
  </si>
  <si>
    <t>₹ Crore; FY2024-25 as originally published (restated in FY2025-26 report)</t>
  </si>
  <si>
    <t>Reported in ₹ lakh; converted to ₹ Crore (÷100)</t>
  </si>
  <si>
    <t>Reported in ₹ million; converted to ₹ Crore (÷10); FY2024-25 revenue regrouped</t>
  </si>
  <si>
    <t>₹ Crore as reported; exceptional items in both years</t>
  </si>
  <si>
    <t>Other Current Assets (investments, loans, other)</t>
  </si>
  <si>
    <t>Other Current Liabilities &amp; Provisions</t>
  </si>
  <si>
    <t>Total Borrowings (excl. lease liabilities)</t>
  </si>
  <si>
    <t>Exceptional Items, net gain/(charge) - in PBT</t>
  </si>
  <si>
    <t>Total Lease Liabilities, Ind AS 116 (memo)</t>
  </si>
  <si>
    <t>Total Expenses (incl. finance costs, depreciation)</t>
  </si>
  <si>
    <t>Opening balances - FY2023-24 closing (as at 31 March 2024)</t>
  </si>
  <si>
    <t>FY2023-24</t>
  </si>
  <si>
    <t>Revenue from Operations (growth base year)</t>
  </si>
  <si>
    <t>Reporting-basis notes: Asian Paints - FY2024-25 figures as originally published (the FY2025-26 report restates comparatives for an amalgamation, differences about 0.1% or less); Revenue, Trade Payables and Total Expenses are sums of reported lines. Indigo Paints - converted from ₹ lakh (÷100); Cost of Materials Consumed is the P&amp;L line “Cost of raw materials and components consumed”. JSW Dulux - converted from ₹ million (÷10); FY2024-25 Revenue ₹4,091.2 Cr and Total Expenses ₹3,549.1 Cr as originally published (FY2025-26 report regrouped promotional spends: ₹4,069.3 Cr / ₹3,527.2 Cr; profit unchanged); FY2025-26 profit before tax includes a ₹1,846.3 Cr net exceptional gain (mainly the profit on the slump sale of two divisions). Berger Paints and Kansai Nerolac - as reported. Trade Payables for Berger, Indigo, JSW and Asian Paints are the sum of the MSME and other-creditor lines. See each company's own worksheet for full source citations.</t>
  </si>
  <si>
    <t>2. Financial Ratios - Company Figures, FY2024-25 &amp; FY2025-26</t>
  </si>
  <si>
    <t>Formula definitions and average-balance methodology are documented on each company's own “Ratio Analysis” table. Columns B–F show each company's own (“Company”) figures; column G, “Industry Avg (5 companies)”, is the simple arithmetic mean of those five company figures for the same year (a live formula); the company figures themselves are calculated on this sheet from the local book-value tables in section 1 at the top of the sheet - a benchmark of the five companies selected for this project, not an official industry-wide average.</t>
  </si>
  <si>
    <t>JSW Dulux (fmrly Akzo Nobel India)</t>
  </si>
  <si>
    <t>Industry Avg (5 companies)</t>
  </si>
  <si>
    <t>Return on Assets (ROA) - avg. basis</t>
  </si>
  <si>
    <t>Return on Equity (ROE) - avg. basis</t>
  </si>
  <si>
    <t>Debt-to-Equity (incl. Lease Liab.)</t>
  </si>
  <si>
    <t>Materials-Consumption Turnover - avg. basis</t>
  </si>
  <si>
    <t>3. Growth &amp; Profitability Ratios - Revenue Growth (%) and Operating Profit Margin (%)</t>
  </si>
  <si>
    <t>Revenue Growth (%) and Operating Profit Margin (%) are added here as live formulas calculated on this sheet from the local book-value tables in section 1 at the top of the sheet (the same definitions as each company's own "Growth &amp; Profitability Ratios" sub-table - see that sheet for the data sources and methodology note). Operating Profit = Revenue from Operations − (Total Expenses − Finance Costs), i.e. Profit from Operations before Other Income, Finance Costs &amp; Exceptional Items; it deliberately excludes the one-off exceptional items discussed in Section 10 below (most notably JSW Dulux's FY2025-26 slump-sale exceptional gain), unlike Net Profit Margin. Column G, “Industry Avg (5 companies)”, is the arithmetic mean of the five company figures for the year.</t>
  </si>
  <si>
    <t>Growth &amp; Profitability - Cross-Company Interpretation</t>
  </si>
  <si>
    <t>• Revenue growth: in each year four of the five companies grew. The exceptions were Asian Paints in FY2024-25 (-5.36%, then +4.12%) and JSW Dulux in FY2025-26 (-12.03%, after +3.27%).
• Operating profit margin leaves out other income, finance costs and exceptional items, so it shows core operating performance.
• Asian Paints has the highest operating profit margin in both years (15.74% and 16.56%), even though its revenue fell in FY2024-25.
• Indigo Paints (13.92% to 14.38%) and Asian Paints improved their margins. Berger (13.34% to 12.87%), Kansai Nerolac (10.41% to 9.88%) and JSW Dulux (13.49% to 12.01%) saw margins fall.
• Berger and Kansai Nerolac grew revenue in both years but their margins still fell, so growth did not give better profitability for them.
• JSW Dulux shows why this margin is useful. Its net profit margin jumped (10.48% to 53.28%) because of a one-off gain, but its operating margin fell.
• These are only observed patterns. No cause is proven.</t>
  </si>
  <si>
    <t>4. Five-Company Industry-Average Methodology</t>
  </si>
  <si>
    <t>Every “Industry Avg” figure in this workbook - column G of the ratio tables on this sheet and the Industry Avg columns on each company's own Ratio Analysis, DuPont, Growth &amp; Profitability and 5-Factor DuPont tables - is calculated as Industry Average = (Berger Paints + Asian Paints + Indigo Paints + JSW Dulux + Kansai Nerolac) ÷ 5, using the corresponding ratio for the same financial year, separately for FY2024-25 and FY2025-26. Each company worksheet calculates its own Industry Avg cells with live AVERAGE formulas over the five companies' ratios, each calculated locally from the five-company book values held on that worksheet; this Industry Summary does the same from its own local book-value tables (column G averages columns B–F). No worksheet depends on any other, and because all use the same validated inputs and definitions the figures agree. All five companies are always included, so every company sheet shows the same Industry Avg figure and each company is part of its own benchmark. This is the arithmetic average of the five companies selected for this project; it is NOT an official published industry-wide average and is not a ratio computed from aggregated financial statements. Because it is a simple (unweighted) average of only five companies, one outlier moves it noticeably - most notably JSW Dulux's FY2025-26 figures, which are inflated by a one-off exceptional gain (mainly the profit on the slump sale of two divisions) (see Section 10) and lift the FY2025-26 averages for Net Profit Margin, ROA, ROE and EBIT Margin well above any recurring level. For the DuPont analyses (three-factor and five-factor), each factor is averaged across the five companies first and the averaged factors are then multiplied; that product does not in general equal the average of the five companies' ROEs, and the resulting reconciliation differences are shown, not forced to zero.</t>
  </si>
  <si>
    <t>5. DuPont Analysis - ROE Decomposition, FY2024-25 &amp; FY2025-26</t>
  </si>
  <si>
    <t>ROE = Net Profit Margin × Asset Turnover × Equity Multiplier. Re-verified to reconcile exactly (to ≥10 decimal places) against each company's directly-computed ROE for both years - see the accompanying workbook's own audit trail. Column G (“Industry Avg (5 companies)”) averages each component across the five companies; its ROE (product) cell multiplies the three averaged components, so it differs from the average of the five companies' own ROEs shown in the Ratio Analysis table above (20.62% against 20.66% in FY2024-25; 29.13% against 33.02% in FY2025-26).</t>
  </si>
  <si>
    <t>6. 5-Factor DuPont Analysis - ROE Decomposition, FY2024-25 &amp; FY2025-26</t>
  </si>
  <si>
    <t>Each company's own worksheet now carries a 5-Factor DuPont Analysis (Tax Burden × Interest Burden × EBIT Margin × Asset Turnover × Equity Multiplier) in addition to the 3-factor DuPont analysis in Section 5 above; see each company sheet for the full methodology note. EBIT is defined as Profit Before Tax (PBT) + Finance Costs, which makes the five-factor product reconcile exactly to the directly-computed ROE already shown in Section 5 - re-verified below to reconcile to at least six decimal places for all five companies and both fiscal years. All figures below are live formulas calculated on this sheet from the local book-value tables in section 1 at the top of the sheet. Column G (“Industry Avg (5 companies)”) averages each factor across all five companies; the Industry Avg 5-Factor product is the product of those five averaged factors and, by construction, does not equal the average of the five companies' ROEs - its reconciliation difference is genuine and is not forced to zero.</t>
  </si>
  <si>
    <t>Directly-Calculated ROE (existing)</t>
  </si>
  <si>
    <t>5-Factor DuPont - Cross-Company Interpretation</t>
  </si>
  <si>
    <t>• For every company the five factors multiply back to the directly calculated ROE, so the reconciliation works.
• Kansai Nerolac: ROE fall (16.99% to 9.49%) comes mainly from EBIT margin (18.70% to 11.07%). EBIT is based on PBT, so this includes the land sale gain in FY2024-25 and the charge in FY2025-26. It is mostly a one-off effect.
• Asian Paints: ROE rise (19.24% to 21.35%) is led by EBIT margin (17.06% to 19.05%).
• Berger: EBIT margin fell (14.54% to 14.24%) but a higher tax burden ratio (75.31% to 76.18%) offset it, so net profit margin looks flat.
• Indigo Paints: the ROE fall is mainly asset turnover (0.99x to 0.91x).
• JSW Dulux: EBIT margin (14.16% to 64.23%) and tax burden (75.23% to 83.39%) jump because of the one-off gain. Asset turnover (1.41x to 1.09x) and equity multiplier (2.18x to 1.78x) fell, so the ROE spike is a one-off and FY2024-25 (ROE 32.25%) is more representative.
• Industry average: multiplying the averaged factors gives 20.64% in FY2024-25 against an average of the five ROEs of 20.66% (difference -0.03 percentage points), and 27.94% against 33.02% in FY2025-26 (difference -5.08 percentage points).
• The bigger FY2025-26 difference comes from JSW Dulux's extreme factors. It is an averaging effect (average of products is not the product of averages), not an error.</t>
  </si>
  <si>
    <t>7. Industry Interpretation and Charts (based on Sections 1 to 6)</t>
  </si>
  <si>
    <t>All charts below use the figures already calculated in Sections 1 to 6. Each chart compares the five companies and the industry average (simple mean of the five) for FY2024-25 and FY2025-26.</t>
  </si>
  <si>
    <t>A. Liquidity and Leverage</t>
  </si>
  <si>
    <t>• Current ratio: Kansai Nerolac is the highest in both years (4.02x and 3.75x) and JSW Dulux the lowest (1.38x and 1.52x). Asian Paints improved from 2.30x to 2.46x and moved above the industry average (2.43x) in FY2025-26. Berger rose to 2.18x but stays below the average.
• Every company has a current ratio above 1x in both years, so short-term liquidity is not a concern for any of them.
• Leverage is very low for all five. Even with lease liabilities, debt-to-equity is below 0.12x everywhere. The highest is Asian Paints at 0.1140x in FY2025-26, after its borrowings rose from ₹39.40 Cr to ₹1,189.67 Cr.
• Berger (0.0867x to 0.0723x) is above the industry average (0.0485x and 0.0535x) once leases are counted. Indigo Paints is the lowest (0.0188x and 0.0155x).</t>
  </si>
  <si>
    <t>B. Profitability</t>
  </si>
  <si>
    <t>• Operating profit margin (which leaves out one-off items) is highest for Asian Paints (15.74% to 16.56%) and lowest for Kansai Nerolac (10.41% to 9.88%). Indigo Paints improved (13.92% to 14.38%) while Berger and JSW Dulux fell.
• ROE: Asian Paints improved (19.24% to 21.35%), while Berger (20.17% to 18.22%), Indigo Paints (14.66% to 13.04%) and Kansai Nerolac (16.99% to 9.49%) all fell.
• JSW Dulux's FY2025-26 ROE of 103.02% is not operating performance. It comes from a one-off gain of ₹1,846.3 Cr. It lifts the industry average ROE to 33.02%, while the average of the other four companies is 15.52%.
• Kansai Nerolac's fall is also mostly one-off. FY2024-25 had a ₹479.19 Cr land sale gain, and before exceptional items its PBT was almost flat (₹907.42 Cr to ₹898.91 Cr).</t>
  </si>
  <si>
    <t>C. Efficiency and Growth</t>
  </si>
  <si>
    <t>• Materials-consumption turnover: Indigo Paints is the highest (4.11x in both years). Berger (2.36x) and Asian Paints (2.37x) are the lowest in FY2025-26. Kansai Nerolac improved (2.70x to 2.82x) while Berger and JSW Dulux fell.
• A higher turnover means less cash is tied up in stock. Berger and Asian Paints are below the industry average (3.05x and 2.97x), so they hold more stock for the materials they use.
• Revenue growth: four of the five companies grew in each year. Asian Paints fell 5.36% in FY2024-25 (then grew 4.12%) and JSW Dulux fell 12.03% in FY2025-26 after its divestment.
• The industry average growth is low (0.55% and 0.39%) mainly because of those two declines.</t>
  </si>
  <si>
    <t>D. Overall Conclusion</t>
  </si>
  <si>
    <t>• Asian Paints is the strongest overall: the largest by revenue (₹30,769.48 Cr), the best operating margin, the best ROE after setting aside JSW Dulux's one-off, and improving liquidity. The one thing to watch is its new borrowings.
• Berger is steady but slipping slightly. Liquidity improved, but margins and ROE eased and it holds more stock than its peers.
• Kansai Nerolac has very high liquidity and no borrowings, but its returns are the lowest of the comparable group and revenue growth is modest (3.24% in FY2025-26).
• Indigo Paints is the smallest. It has the best inventory turnover, the lowest leverage and an above-average operating margin, but its ROE dipped because assets grew faster than revenue.
• JSW Dulux's FY2025-26 profit is a one-time gain. Its underlying margin and revenue fell, and it is the least liquid of the five.
• No company shows solvency risk, since borrowings are minimal and current ratios are above 1x. The industry averages for FY2025-26 should be read with care because JSW Dulux's one-off gain lifts the averages for ROE, ROA and net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</si>
</sst>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00%"/>
  </numFmts>
  <fonts count="20">
    <font>
      <sz val="11"/>
      <color theme="1"/>
      <name val="Times New Roman"/>
      <family val="1"/>
    </font>
    <font>
      <sz val="10"/>
      <name val="Times New Roman"/>
      <family val="1"/>
    </font>
    <font>
      <b/>
      <sz val="14"/>
      <name val="Times New Roman"/>
      <family val="1"/>
    </font>
    <font>
      <b/>
      <sz val="12"/>
      <name val="Times New Roman"/>
      <family val="1"/>
    </font>
    <font>
      <sz val="11"/>
      <name val="Times New Roman"/>
      <family val="1"/>
    </font>
    <font>
      <b/>
      <sz val="10"/>
      <name val="Times New Roman"/>
      <family val="1"/>
    </font>
    <font>
      <b/>
      <sz val="9"/>
      <name val="Times New Roman"/>
      <family val="1"/>
    </font>
    <font>
      <b/>
      <sz val="11"/>
      <name val="Times New Roman"/>
      <family val="1"/>
    </font>
    <font>
      <b/>
      <sz val="10"/>
      <color rgb="FF000000"/>
      <name val="Times New Roman"/>
      <family val="1"/>
    </font>
    <font>
      <sz val="12"/>
      <name val="Times New Roman"/>
      <family val="1"/>
    </font>
    <font>
      <b/>
      <sz val="14"/>
      <color rgb="FF000000"/>
      <name val="Times New Roman"/>
      <family val="1"/>
    </font>
    <font>
      <sz val="10"/>
      <color rgb="FF000000"/>
      <name val="Times New Roman"/>
      <family val="1"/>
    </font>
    <font>
      <sz val="9"/>
      <color rgb="FF000000"/>
      <name val="Times New Roman"/>
      <family val="1"/>
    </font>
    <font>
      <b/>
      <sz val="12"/>
      <color rgb="FF000000"/>
      <name val="Times New Roman"/>
      <family val="1"/>
    </font>
    <font>
      <b/>
      <sz val="11"/>
      <color rgb="FF000000"/>
      <name val="Times New Roman"/>
      <family val="1"/>
    </font>
    <font>
      <b/>
      <sz val="20"/>
      <name val="Times New Roman"/>
      <family val="1"/>
    </font>
    <font>
      <b/>
      <sz val="16"/>
      <name val="Times New Roman"/>
      <family val="1"/>
    </font>
    <font>
      <i/>
      <sz val="13"/>
      <name val="Times New Roman"/>
      <family val="1"/>
    </font>
    <font>
      <sz val="13"/>
      <name val="Times New Roman"/>
      <family val="1"/>
    </font>
    <font>
      <sz val="9"/>
      <name val="Times New Roman"/>
      <family val="1"/>
    </font>
  </fonts>
  <fills count="4">
    <fill>
      <patternFill patternType="none"/>
    </fill>
    <fill>
      <patternFill patternType="gray125"/>
    </fill>
    <fill>
      <patternFill patternType="solid">
        <fgColor rgb="FFD9D9D9"/>
      </patternFill>
    </fill>
    <fill>
      <patternFill patternType="solid">
        <fgColor rgb="FFF2F2F2"/>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s>
  <cellStyleXfs count="1">
    <xf numFmtId="0" fontId="0" fillId="0" borderId="0"/>
  </cellStyleXfs>
  <cellXfs count="93">
    <xf numFmtId="0" fontId="0" fillId="0" borderId="0" xfId="0"/>
    <xf numFmtId="0" fontId="4" fillId="0" borderId="0" xfId="0" applyFont="1"/>
    <xf numFmtId="0" fontId="5" fillId="0" borderId="1" xfId="0" applyFont="1" applyBorder="1"/>
    <xf numFmtId="0" fontId="5" fillId="0" borderId="1" xfId="0" applyFont="1" applyBorder="1" applyAlignment="1">
      <alignment horizontal="center" vertical="center" wrapText="1"/>
    </xf>
    <xf numFmtId="0" fontId="5" fillId="0" borderId="1" xfId="0" applyFont="1" applyBorder="1" applyAlignment="1">
      <alignment horizontal="center"/>
    </xf>
    <xf numFmtId="0" fontId="6" fillId="0" borderId="1" xfId="0" applyFont="1" applyBorder="1" applyAlignment="1">
      <alignment horizontal="center" vertical="center" wrapText="1"/>
    </xf>
    <xf numFmtId="0" fontId="7" fillId="0" borderId="0" xfId="0" applyFont="1"/>
    <xf numFmtId="4" fontId="1" fillId="0" borderId="1" xfId="0" applyNumberFormat="1" applyFont="1" applyBorder="1" applyAlignment="1">
      <alignment horizontal="right"/>
    </xf>
    <xf numFmtId="0" fontId="5" fillId="0" borderId="1" xfId="0" applyFont="1" applyBorder="1" applyAlignment="1">
      <alignment vertical="center" wrapText="1"/>
    </xf>
    <xf numFmtId="4" fontId="5" fillId="0" borderId="1" xfId="0" applyNumberFormat="1" applyFont="1" applyBorder="1" applyAlignment="1">
      <alignment horizontal="right"/>
    </xf>
    <xf numFmtId="0" fontId="1" fillId="0" borderId="1" xfId="0" applyFont="1" applyBorder="1"/>
    <xf numFmtId="164" fontId="1" fillId="0" borderId="1" xfId="0" applyNumberFormat="1" applyFont="1" applyBorder="1"/>
    <xf numFmtId="10" fontId="1" fillId="0" borderId="1" xfId="0" applyNumberFormat="1" applyFont="1" applyBorder="1"/>
    <xf numFmtId="0" fontId="1" fillId="0" borderId="1" xfId="0" applyFont="1" applyBorder="1" applyAlignment="1">
      <alignment vertical="center" wrapText="1"/>
    </xf>
    <xf numFmtId="10" fontId="5" fillId="0" borderId="1" xfId="0" applyNumberFormat="1" applyFont="1" applyBorder="1"/>
    <xf numFmtId="165" fontId="1" fillId="0" borderId="1" xfId="0" applyNumberFormat="1" applyFont="1" applyBorder="1"/>
    <xf numFmtId="0" fontId="8" fillId="2" borderId="9"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11" fillId="0" borderId="14" xfId="0" applyFont="1" applyBorder="1" applyAlignment="1">
      <alignment horizontal="left" vertical="center" wrapText="1"/>
    </xf>
    <xf numFmtId="4" fontId="11" fillId="0" borderId="6" xfId="0" applyNumberFormat="1" applyFont="1" applyBorder="1" applyAlignment="1">
      <alignment horizontal="right" vertical="center"/>
    </xf>
    <xf numFmtId="4" fontId="11" fillId="0" borderId="15" xfId="0" applyNumberFormat="1" applyFont="1" applyBorder="1" applyAlignment="1">
      <alignment horizontal="right" vertical="center"/>
    </xf>
    <xf numFmtId="0" fontId="8" fillId="0" borderId="14" xfId="0" applyFont="1" applyBorder="1" applyAlignment="1">
      <alignment horizontal="left" vertical="center" wrapText="1"/>
    </xf>
    <xf numFmtId="4" fontId="8" fillId="0" borderId="6" xfId="0" applyNumberFormat="1" applyFont="1" applyBorder="1" applyAlignment="1">
      <alignment horizontal="right" vertical="center"/>
    </xf>
    <xf numFmtId="4" fontId="8" fillId="0" borderId="15" xfId="0" applyNumberFormat="1" applyFont="1" applyBorder="1" applyAlignment="1">
      <alignment horizontal="right" vertical="center"/>
    </xf>
    <xf numFmtId="0" fontId="8" fillId="3" borderId="14" xfId="0" applyFont="1" applyFill="1" applyBorder="1" applyAlignment="1">
      <alignment horizontal="left" vertical="center" wrapText="1"/>
    </xf>
    <xf numFmtId="0" fontId="8" fillId="3" borderId="6" xfId="0" applyFont="1" applyFill="1" applyBorder="1" applyAlignment="1">
      <alignment horizontal="center" vertical="center" wrapText="1"/>
    </xf>
    <xf numFmtId="0" fontId="8" fillId="3" borderId="15" xfId="0" applyFont="1" applyFill="1" applyBorder="1" applyAlignment="1">
      <alignment horizontal="center" vertical="center" wrapText="1"/>
    </xf>
    <xf numFmtId="4" fontId="11" fillId="0" borderId="6" xfId="0" applyNumberFormat="1" applyFont="1" applyBorder="1" applyAlignment="1">
      <alignment horizontal="right" vertical="center" wrapText="1"/>
    </xf>
    <xf numFmtId="4" fontId="11" fillId="0" borderId="15" xfId="0" applyNumberFormat="1" applyFont="1" applyBorder="1" applyAlignment="1">
      <alignment horizontal="right" vertical="center" wrapText="1"/>
    </xf>
    <xf numFmtId="0" fontId="11" fillId="0" borderId="11" xfId="0" applyFont="1" applyBorder="1" applyAlignment="1">
      <alignment horizontal="left" vertical="center" wrapText="1"/>
    </xf>
    <xf numFmtId="4" fontId="11" fillId="0" borderId="12" xfId="0" applyNumberFormat="1" applyFont="1" applyBorder="1" applyAlignment="1">
      <alignment horizontal="right" vertical="center"/>
    </xf>
    <xf numFmtId="4" fontId="11" fillId="0" borderId="12" xfId="0" applyNumberFormat="1" applyFont="1" applyBorder="1" applyAlignment="1">
      <alignment horizontal="right" vertical="center" wrapText="1"/>
    </xf>
    <xf numFmtId="4" fontId="11" fillId="0" borderId="13" xfId="0" applyNumberFormat="1" applyFont="1" applyBorder="1" applyAlignment="1">
      <alignment horizontal="righ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164" fontId="11" fillId="0" borderId="6" xfId="0" applyNumberFormat="1" applyFont="1" applyBorder="1" applyAlignment="1">
      <alignment horizontal="right" vertical="center"/>
    </xf>
    <xf numFmtId="164" fontId="11" fillId="3" borderId="15" xfId="0" applyNumberFormat="1" applyFont="1" applyFill="1" applyBorder="1" applyAlignment="1">
      <alignment horizontal="right" vertical="center"/>
    </xf>
    <xf numFmtId="10" fontId="11" fillId="0" borderId="6" xfId="0" applyNumberFormat="1" applyFont="1" applyBorder="1" applyAlignment="1">
      <alignment horizontal="right" vertical="center"/>
    </xf>
    <xf numFmtId="10" fontId="11" fillId="3" borderId="15" xfId="0" applyNumberFormat="1" applyFont="1" applyFill="1" applyBorder="1" applyAlignment="1">
      <alignment horizontal="right" vertical="center"/>
    </xf>
    <xf numFmtId="0" fontId="8" fillId="0" borderId="11" xfId="0" applyFont="1" applyBorder="1" applyAlignment="1">
      <alignment horizontal="left" vertical="center" wrapText="1"/>
    </xf>
    <xf numFmtId="164" fontId="11" fillId="0" borderId="12" xfId="0" applyNumberFormat="1" applyFont="1" applyBorder="1" applyAlignment="1">
      <alignment horizontal="right" vertical="center"/>
    </xf>
    <xf numFmtId="164" fontId="11" fillId="3" borderId="13" xfId="0" applyNumberFormat="1" applyFont="1" applyFill="1" applyBorder="1" applyAlignment="1">
      <alignment horizontal="right" vertical="center"/>
    </xf>
    <xf numFmtId="10" fontId="11" fillId="0" borderId="12" xfId="0" applyNumberFormat="1" applyFont="1" applyBorder="1" applyAlignment="1">
      <alignment horizontal="right" vertical="center"/>
    </xf>
    <xf numFmtId="10" fontId="11" fillId="3" borderId="13" xfId="0" applyNumberFormat="1" applyFont="1" applyFill="1" applyBorder="1" applyAlignment="1">
      <alignment horizontal="right" vertical="center"/>
    </xf>
    <xf numFmtId="0" fontId="14" fillId="0" borderId="0" xfId="0" applyFont="1"/>
    <xf numFmtId="165" fontId="11" fillId="0" borderId="12" xfId="0" applyNumberFormat="1" applyFont="1" applyBorder="1" applyAlignment="1">
      <alignment horizontal="right" vertical="center"/>
    </xf>
    <xf numFmtId="165" fontId="11" fillId="3" borderId="13" xfId="0" applyNumberFormat="1" applyFont="1" applyFill="1" applyBorder="1" applyAlignment="1">
      <alignment horizontal="right" vertical="center"/>
    </xf>
    <xf numFmtId="0" fontId="19" fillId="0" borderId="1" xfId="0" applyFont="1" applyBorder="1" applyAlignment="1">
      <alignment vertical="center" wrapText="1"/>
    </xf>
    <xf numFmtId="0" fontId="4" fillId="0" borderId="1" xfId="0" applyFont="1" applyBorder="1"/>
    <xf numFmtId="2" fontId="4" fillId="0" borderId="1" xfId="0" applyNumberFormat="1" applyFont="1" applyBorder="1"/>
    <xf numFmtId="10" fontId="4" fillId="0" borderId="1" xfId="0" applyNumberFormat="1" applyFont="1" applyBorder="1"/>
    <xf numFmtId="0" fontId="2" fillId="0" borderId="0" xfId="0" applyFont="1" applyAlignment="1">
      <alignment vertical="center"/>
    </xf>
    <xf numFmtId="0" fontId="19" fillId="0" borderId="0" xfId="0" applyFont="1" applyAlignment="1">
      <alignment vertical="top" wrapText="1"/>
    </xf>
    <xf numFmtId="0" fontId="7" fillId="0" borderId="0" xfId="0" applyFont="1" applyAlignment="1">
      <alignment vertical="center"/>
    </xf>
    <xf numFmtId="0" fontId="5" fillId="0" borderId="1" xfId="0" applyFont="1" applyBorder="1" applyAlignment="1">
      <alignment horizontal="center"/>
    </xf>
    <xf numFmtId="0" fontId="5" fillId="0" borderId="0" xfId="0" applyFont="1" applyAlignment="1">
      <alignment vertical="center" wrapText="1"/>
    </xf>
    <xf numFmtId="0" fontId="3" fillId="0" borderId="0" xfId="0" applyFont="1" applyAlignment="1">
      <alignment vertical="center"/>
    </xf>
    <xf numFmtId="0" fontId="4" fillId="0" borderId="3" xfId="0" applyFont="1" applyBorder="1" applyAlignment="1">
      <alignment horizontal="left" vertical="top" wrapText="1"/>
    </xf>
    <xf numFmtId="0" fontId="1" fillId="0" borderId="0" xfId="0" applyFont="1" applyAlignment="1">
      <alignment vertical="top" wrapText="1"/>
    </xf>
    <xf numFmtId="0" fontId="15" fillId="0" borderId="0" xfId="0" applyFont="1" applyAlignment="1">
      <alignment horizontal="center" vertical="center" wrapText="1"/>
    </xf>
    <xf numFmtId="0" fontId="9" fillId="0" borderId="6" xfId="0" applyFont="1" applyBorder="1" applyAlignment="1">
      <alignment horizontal="center" vertical="center"/>
    </xf>
    <xf numFmtId="0" fontId="18" fillId="0" borderId="0" xfId="0" applyFont="1" applyAlignment="1">
      <alignment horizontal="center" vertical="center" wrapText="1"/>
    </xf>
    <xf numFmtId="0" fontId="17" fillId="0" borderId="0" xfId="0" applyFont="1" applyAlignment="1">
      <alignment horizontal="center" vertical="center" wrapText="1"/>
    </xf>
    <xf numFmtId="0" fontId="5" fillId="0" borderId="0" xfId="0" applyFont="1" applyAlignment="1">
      <alignment horizontal="center" vertical="center" wrapText="1"/>
    </xf>
    <xf numFmtId="0" fontId="16" fillId="0" borderId="0" xfId="0" applyFont="1" applyAlignment="1">
      <alignment horizontal="center" vertical="center" wrapText="1"/>
    </xf>
    <xf numFmtId="0" fontId="3" fillId="0" borderId="6" xfId="0" applyFont="1" applyBorder="1" applyAlignment="1">
      <alignment horizontal="center" vertical="center"/>
    </xf>
    <xf numFmtId="0" fontId="4" fillId="0" borderId="0" xfId="0" applyFont="1" applyAlignment="1">
      <alignment horizontal="center" vertical="center" wrapText="1"/>
    </xf>
    <xf numFmtId="0" fontId="11" fillId="0" borderId="0" xfId="0" applyFont="1" applyAlignment="1">
      <alignment horizontal="left" vertical="top" wrapText="1"/>
    </xf>
    <xf numFmtId="0" fontId="13" fillId="0" borderId="21" xfId="0" applyFont="1" applyBorder="1" applyAlignment="1">
      <alignment horizontal="left" vertical="center" indent="1"/>
    </xf>
    <xf numFmtId="0" fontId="10" fillId="3" borderId="0" xfId="0" applyFont="1" applyFill="1" applyAlignment="1">
      <alignment horizontal="left" vertical="center" indent="1"/>
    </xf>
    <xf numFmtId="0" fontId="8" fillId="3" borderId="0" xfId="0" applyFont="1" applyFill="1" applyAlignment="1">
      <alignment horizontal="left"/>
    </xf>
    <xf numFmtId="0" fontId="8" fillId="3" borderId="0" xfId="0" applyFont="1" applyFill="1" applyAlignment="1">
      <alignment horizontal="left" vertical="center" indent="1"/>
    </xf>
    <xf numFmtId="0" fontId="12" fillId="0" borderId="0" xfId="0" applyFont="1" applyAlignment="1">
      <alignment horizontal="left" vertical="top" wrapText="1"/>
    </xf>
    <xf numFmtId="0" fontId="8" fillId="2" borderId="10"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21" xfId="0" applyFont="1" applyBorder="1" applyAlignment="1">
      <alignment horizontal="left" vertical="center"/>
    </xf>
    <xf numFmtId="0" fontId="14" fillId="3" borderId="0" xfId="0" applyFont="1" applyFill="1" applyAlignment="1">
      <alignment vertical="center"/>
    </xf>
    <xf numFmtId="0" fontId="13" fillId="0" borderId="21" xfId="0" applyFont="1" applyBorder="1" applyAlignment="1">
      <alignment vertical="center"/>
    </xf>
    <xf numFmtId="0" fontId="4" fillId="0" borderId="0" xfId="0" applyFont="1" applyAlignment="1"/>
    <xf numFmtId="0" fontId="0" fillId="0" borderId="8" xfId="0" applyBorder="1" applyAlignment="1"/>
    <xf numFmtId="0" fontId="0" fillId="0" borderId="7" xfId="0" applyBorder="1" applyAlignment="1"/>
    <xf numFmtId="0" fontId="0" fillId="0" borderId="4" xfId="0" applyBorder="1" applyAlignment="1"/>
    <xf numFmtId="0" fontId="0" fillId="0" borderId="2" xfId="0" applyBorder="1" applyAlignment="1"/>
    <xf numFmtId="0" fontId="0" fillId="0" borderId="5" xfId="0" applyBorder="1" applyAlignment="1"/>
    <xf numFmtId="0" fontId="0" fillId="0" borderId="0" xfId="0" applyAlignment="1"/>
    <xf numFmtId="0" fontId="11" fillId="0" borderId="0" xfId="0" applyFont="1" applyAlignment="1"/>
    <xf numFmtId="0" fontId="0" fillId="0" borderId="21" xfId="0" applyBorder="1" applyAlignment="1"/>
    <xf numFmtId="0" fontId="0" fillId="0" borderId="20" xfId="0" applyBorder="1" applyAlignment="1"/>
    <xf numFmtId="0" fontId="0" fillId="0" borderId="19" xfId="0" applyBorder="1" applyAlignment="1"/>
    <xf numFmtId="0" fontId="14"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20"/>
      <rgbColor rgb="FF1E7B34"/>
      <rgbColor rgb="FF000080"/>
      <rgbColor rgb="FF808000"/>
      <rgbColor rgb="FF7A4FD6"/>
      <rgbColor rgb="FF2E7D32"/>
      <rgbColor rgb="FFB7B7B7"/>
      <rgbColor rgb="FF878787"/>
      <rgbColor rgb="FFA5A5A5"/>
      <rgbColor rgb="FFB45309"/>
      <rgbColor rgb="FFFFF2CC"/>
      <rgbColor rgb="FFD9E2F3"/>
      <rgbColor rgb="FF660066"/>
      <rgbColor rgb="FFED7D31"/>
      <rgbColor rgb="FF2E75B6"/>
      <rgbColor rgb="FFD9D9D9"/>
      <rgbColor rgb="FF000080"/>
      <rgbColor rgb="FFFF00FF"/>
      <rgbColor rgb="FFFFFF00"/>
      <rgbColor rgb="FF00FFFF"/>
      <rgbColor rgb="FF800080"/>
      <rgbColor rgb="FF800000"/>
      <rgbColor rgb="FF4472C4"/>
      <rgbColor rgb="FF0000FF"/>
      <rgbColor rgb="FF00B0F0"/>
      <rgbColor rgb="FFCCFFFF"/>
      <rgbColor rgb="FFCCFFCC"/>
      <rgbColor rgb="FFFFFF99"/>
      <rgbColor rgb="FF9DC3E8"/>
      <rgbColor rgb="FFFF99CC"/>
      <rgbColor rgb="FFB3B3B3"/>
      <rgbColor rgb="FFF7B89C"/>
      <rgbColor rgb="FF2A78D6"/>
      <rgbColor rgb="FF5B9BD5"/>
      <rgbColor rgb="FF99CC00"/>
      <rgbColor rgb="FFEAB300"/>
      <rgbColor rgb="FFD65A2A"/>
      <rgbColor rgb="FFEB6834"/>
      <rgbColor rgb="FF7A5195"/>
      <rgbColor rgb="FF8B8B8B"/>
      <rgbColor rgb="FF003366"/>
      <rgbColor rgb="FF1BAF7A"/>
      <rgbColor rgb="FF003300"/>
      <rgbColor rgb="FF333300"/>
      <rgbColor rgb="FFC0392B"/>
      <rgbColor rgb="FF595959"/>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Berger Paints vs Industry Average - Liquidity &amp; Leverage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Berger!$B$117</c:f>
              <c:strCache>
                <c:ptCount val="1"/>
                <c:pt idx="0">
                  <c:v>Company FY24-25</c:v>
                </c:pt>
              </c:strCache>
            </c:strRef>
          </c:tx>
          <c:spPr>
            <a:solidFill>
              <a:schemeClr val="accent1"/>
            </a:solidFill>
            <a:ln>
              <a:noFill/>
            </a:ln>
            <a:effectLst/>
          </c:spPr>
          <c:invertIfNegative val="0"/>
          <c:cat>
            <c:strRef>
              <c:f>Berger!$A$118:$A$122</c:f>
              <c:strCache>
                <c:ptCount val="5"/>
                <c:pt idx="0">
                  <c:v>Current Ratio</c:v>
                </c:pt>
                <c:pt idx="1">
                  <c:v>Quick Ratio</c:v>
                </c:pt>
                <c:pt idx="2">
                  <c:v>Cash Ratio</c:v>
                </c:pt>
                <c:pt idx="3">
                  <c:v>Debt-to-Equity</c:v>
                </c:pt>
                <c:pt idx="4">
                  <c:v>D/E incl. Lease</c:v>
                </c:pt>
              </c:strCache>
            </c:strRef>
          </c:cat>
          <c:val>
            <c:numRef>
              <c:f>Berger!$B$118:$B$122</c:f>
              <c:numCache>
                <c:formatCode>0.00</c:formatCode>
                <c:ptCount val="5"/>
                <c:pt idx="0">
                  <c:v>2.0817218596406413</c:v>
                </c:pt>
                <c:pt idx="1">
                  <c:v>0.97051003142373715</c:v>
                </c:pt>
                <c:pt idx="2">
                  <c:v>0.18423676577229878</c:v>
                </c:pt>
                <c:pt idx="3">
                  <c:v>6.8649160543982987E-5</c:v>
                </c:pt>
                <c:pt idx="4">
                  <c:v>8.6689807887964571E-2</c:v>
                </c:pt>
              </c:numCache>
            </c:numRef>
          </c:val>
          <c:extLst>
            <c:ext xmlns:c16="http://schemas.microsoft.com/office/drawing/2014/chart" uri="{C3380CC4-5D6E-409C-BE32-E72D297353CC}">
              <c16:uniqueId val="{00000000-3D63-4793-86A3-DFA9FEC437AC}"/>
            </c:ext>
          </c:extLst>
        </c:ser>
        <c:ser>
          <c:idx val="1"/>
          <c:order val="1"/>
          <c:tx>
            <c:strRef>
              <c:f>Berger!$C$117</c:f>
              <c:strCache>
                <c:ptCount val="1"/>
                <c:pt idx="0">
                  <c:v>Industry Avg FY24-25</c:v>
                </c:pt>
              </c:strCache>
            </c:strRef>
          </c:tx>
          <c:spPr>
            <a:solidFill>
              <a:schemeClr val="accent2"/>
            </a:solidFill>
            <a:ln>
              <a:noFill/>
            </a:ln>
            <a:effectLst/>
          </c:spPr>
          <c:invertIfNegative val="0"/>
          <c:cat>
            <c:strRef>
              <c:f>Berger!$A$118:$A$122</c:f>
              <c:strCache>
                <c:ptCount val="5"/>
                <c:pt idx="0">
                  <c:v>Current Ratio</c:v>
                </c:pt>
                <c:pt idx="1">
                  <c:v>Quick Ratio</c:v>
                </c:pt>
                <c:pt idx="2">
                  <c:v>Cash Ratio</c:v>
                </c:pt>
                <c:pt idx="3">
                  <c:v>Debt-to-Equity</c:v>
                </c:pt>
                <c:pt idx="4">
                  <c:v>D/E incl. Lease</c:v>
                </c:pt>
              </c:strCache>
            </c:strRef>
          </c:cat>
          <c:val>
            <c:numRef>
              <c:f>Berger!$C$118:$C$122</c:f>
              <c:numCache>
                <c:formatCode>0.00</c:formatCode>
                <c:ptCount val="5"/>
                <c:pt idx="0">
                  <c:v>2.4353778229716396</c:v>
                </c:pt>
                <c:pt idx="1">
                  <c:v>1.5808142416651734</c:v>
                </c:pt>
                <c:pt idx="2">
                  <c:v>0.15262563733347595</c:v>
                </c:pt>
                <c:pt idx="3">
                  <c:v>4.2882759079160922E-4</c:v>
                </c:pt>
                <c:pt idx="4">
                  <c:v>4.8453002725657834E-2</c:v>
                </c:pt>
              </c:numCache>
            </c:numRef>
          </c:val>
          <c:extLst>
            <c:ext xmlns:c16="http://schemas.microsoft.com/office/drawing/2014/chart" uri="{C3380CC4-5D6E-409C-BE32-E72D297353CC}">
              <c16:uniqueId val="{00000001-3D63-4793-86A3-DFA9FEC437AC}"/>
            </c:ext>
          </c:extLst>
        </c:ser>
        <c:ser>
          <c:idx val="2"/>
          <c:order val="2"/>
          <c:tx>
            <c:strRef>
              <c:f>Berger!$D$117</c:f>
              <c:strCache>
                <c:ptCount val="1"/>
                <c:pt idx="0">
                  <c:v>Company FY25-26</c:v>
                </c:pt>
              </c:strCache>
            </c:strRef>
          </c:tx>
          <c:spPr>
            <a:solidFill>
              <a:schemeClr val="accent3"/>
            </a:solidFill>
            <a:ln>
              <a:noFill/>
            </a:ln>
            <a:effectLst/>
          </c:spPr>
          <c:invertIfNegative val="0"/>
          <c:cat>
            <c:strRef>
              <c:f>Berger!$A$118:$A$122</c:f>
              <c:strCache>
                <c:ptCount val="5"/>
                <c:pt idx="0">
                  <c:v>Current Ratio</c:v>
                </c:pt>
                <c:pt idx="1">
                  <c:v>Quick Ratio</c:v>
                </c:pt>
                <c:pt idx="2">
                  <c:v>Cash Ratio</c:v>
                </c:pt>
                <c:pt idx="3">
                  <c:v>Debt-to-Equity</c:v>
                </c:pt>
                <c:pt idx="4">
                  <c:v>D/E incl. Lease</c:v>
                </c:pt>
              </c:strCache>
            </c:strRef>
          </c:cat>
          <c:val>
            <c:numRef>
              <c:f>Berger!$D$118:$D$122</c:f>
              <c:numCache>
                <c:formatCode>0.00</c:formatCode>
                <c:ptCount val="5"/>
                <c:pt idx="0">
                  <c:v>2.1849998366096979</c:v>
                </c:pt>
                <c:pt idx="1">
                  <c:v>1.1460242471208295</c:v>
                </c:pt>
                <c:pt idx="2">
                  <c:v>9.6610351475881248E-2</c:v>
                </c:pt>
                <c:pt idx="3">
                  <c:v>0</c:v>
                </c:pt>
                <c:pt idx="4">
                  <c:v>7.2323385202352236E-2</c:v>
                </c:pt>
              </c:numCache>
            </c:numRef>
          </c:val>
          <c:extLst>
            <c:ext xmlns:c16="http://schemas.microsoft.com/office/drawing/2014/chart" uri="{C3380CC4-5D6E-409C-BE32-E72D297353CC}">
              <c16:uniqueId val="{00000002-3D63-4793-86A3-DFA9FEC437AC}"/>
            </c:ext>
          </c:extLst>
        </c:ser>
        <c:ser>
          <c:idx val="3"/>
          <c:order val="3"/>
          <c:tx>
            <c:strRef>
              <c:f>Berger!$E$117</c:f>
              <c:strCache>
                <c:ptCount val="1"/>
                <c:pt idx="0">
                  <c:v>Industry Avg FY25-26</c:v>
                </c:pt>
              </c:strCache>
            </c:strRef>
          </c:tx>
          <c:spPr>
            <a:solidFill>
              <a:schemeClr val="accent4"/>
            </a:solidFill>
            <a:ln>
              <a:noFill/>
            </a:ln>
            <a:effectLst/>
          </c:spPr>
          <c:invertIfNegative val="0"/>
          <c:cat>
            <c:strRef>
              <c:f>Berger!$A$118:$A$122</c:f>
              <c:strCache>
                <c:ptCount val="5"/>
                <c:pt idx="0">
                  <c:v>Current Ratio</c:v>
                </c:pt>
                <c:pt idx="1">
                  <c:v>Quick Ratio</c:v>
                </c:pt>
                <c:pt idx="2">
                  <c:v>Cash Ratio</c:v>
                </c:pt>
                <c:pt idx="3">
                  <c:v>Debt-to-Equity</c:v>
                </c:pt>
                <c:pt idx="4">
                  <c:v>D/E incl. Lease</c:v>
                </c:pt>
              </c:strCache>
            </c:strRef>
          </c:cat>
          <c:val>
            <c:numRef>
              <c:f>Berger!$E$118:$E$122</c:f>
              <c:numCache>
                <c:formatCode>0.00</c:formatCode>
                <c:ptCount val="5"/>
                <c:pt idx="0">
                  <c:v>2.4275972449136276</c:v>
                </c:pt>
                <c:pt idx="1">
                  <c:v>1.6811361655827657</c:v>
                </c:pt>
                <c:pt idx="2">
                  <c:v>0.11967228575278641</c:v>
                </c:pt>
                <c:pt idx="3">
                  <c:v>1.1449284846758376E-2</c:v>
                </c:pt>
                <c:pt idx="4">
                  <c:v>5.3467726099874505E-2</c:v>
                </c:pt>
              </c:numCache>
            </c:numRef>
          </c:val>
          <c:extLst>
            <c:ext xmlns:c16="http://schemas.microsoft.com/office/drawing/2014/chart" uri="{C3380CC4-5D6E-409C-BE32-E72D297353CC}">
              <c16:uniqueId val="{00000003-3D63-4793-86A3-DFA9FEC437AC}"/>
            </c:ext>
          </c:extLst>
        </c:ser>
        <c:dLbls>
          <c:showLegendKey val="0"/>
          <c:showVal val="0"/>
          <c:showCatName val="0"/>
          <c:showSerName val="0"/>
          <c:showPercent val="0"/>
          <c:showBubbleSize val="0"/>
        </c:dLbls>
        <c:gapWidth val="219"/>
        <c:overlap val="-27"/>
        <c:axId val="373539168"/>
        <c:axId val="373547808"/>
      </c:barChart>
      <c:catAx>
        <c:axId val="37353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Liquidity and leverage ratios</a:t>
                </a:r>
                <a:endParaRPr lang="en-VI"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373547808"/>
        <c:crosses val="autoZero"/>
        <c:auto val="1"/>
        <c:lblAlgn val="ctr"/>
        <c:lblOffset val="100"/>
        <c:noMultiLvlLbl val="0"/>
      </c:catAx>
      <c:valAx>
        <c:axId val="37354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Ratio value (times)</a:t>
                </a:r>
                <a:endParaRPr lang="en-VI"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37353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D9D9D9"/>
      </a:solidFill>
      <a:round/>
    </a:ln>
    <a:effectLst/>
  </c:spPr>
  <c:txPr>
    <a:bodyPr/>
    <a:lstStyle/>
    <a:p>
      <a:pPr>
        <a:defRPr/>
      </a:pPr>
      <a:endParaRPr lang="en-V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Berger Paints vs Industry Average - Profitability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Berger!$B$147</c:f>
              <c:strCache>
                <c:ptCount val="1"/>
                <c:pt idx="0">
                  <c:v>Company FY24-25</c:v>
                </c:pt>
              </c:strCache>
            </c:strRef>
          </c:tx>
          <c:spPr>
            <a:solidFill>
              <a:schemeClr val="accent1"/>
            </a:solidFill>
            <a:ln>
              <a:noFill/>
            </a:ln>
            <a:effectLst/>
          </c:spPr>
          <c:invertIfNegative val="0"/>
          <c:cat>
            <c:strRef>
              <c:f>Berger!$A$148:$A$150</c:f>
              <c:strCache>
                <c:ptCount val="3"/>
                <c:pt idx="0">
                  <c:v>Net Profit Margin</c:v>
                </c:pt>
                <c:pt idx="1">
                  <c:v>Return on Assets (ROA)</c:v>
                </c:pt>
                <c:pt idx="2">
                  <c:v>Return on Equity (ROE)</c:v>
                </c:pt>
              </c:strCache>
            </c:strRef>
          </c:cat>
          <c:val>
            <c:numRef>
              <c:f>Berger!$B$148:$B$150</c:f>
              <c:numCache>
                <c:formatCode>0.00%</c:formatCode>
                <c:ptCount val="3"/>
                <c:pt idx="0">
                  <c:v>0.10595699571845235</c:v>
                </c:pt>
                <c:pt idx="1">
                  <c:v>0.13675445816360657</c:v>
                </c:pt>
                <c:pt idx="2">
                  <c:v>0.20166006943469678</c:v>
                </c:pt>
              </c:numCache>
            </c:numRef>
          </c:val>
          <c:extLst>
            <c:ext xmlns:c16="http://schemas.microsoft.com/office/drawing/2014/chart" uri="{C3380CC4-5D6E-409C-BE32-E72D297353CC}">
              <c16:uniqueId val="{00000000-13C3-4023-B73B-C1AD2BC8ED59}"/>
            </c:ext>
          </c:extLst>
        </c:ser>
        <c:ser>
          <c:idx val="1"/>
          <c:order val="1"/>
          <c:tx>
            <c:strRef>
              <c:f>Berger!$C$147</c:f>
              <c:strCache>
                <c:ptCount val="1"/>
                <c:pt idx="0">
                  <c:v>Industry Avg FY24-25</c:v>
                </c:pt>
              </c:strCache>
            </c:strRef>
          </c:tx>
          <c:spPr>
            <a:solidFill>
              <a:schemeClr val="accent2"/>
            </a:solidFill>
            <a:ln>
              <a:noFill/>
            </a:ln>
            <a:effectLst/>
          </c:spPr>
          <c:invertIfNegative val="0"/>
          <c:cat>
            <c:strRef>
              <c:f>Berger!$A$148:$A$150</c:f>
              <c:strCache>
                <c:ptCount val="3"/>
                <c:pt idx="0">
                  <c:v>Net Profit Margin</c:v>
                </c:pt>
                <c:pt idx="1">
                  <c:v>Return on Assets (ROA)</c:v>
                </c:pt>
                <c:pt idx="2">
                  <c:v>Return on Equity (ROE)</c:v>
                </c:pt>
              </c:strCache>
            </c:strRef>
          </c:cat>
          <c:val>
            <c:numRef>
              <c:f>Berger!$C$148:$C$150</c:f>
              <c:numCache>
                <c:formatCode>0.00%</c:formatCode>
                <c:ptCount val="3"/>
                <c:pt idx="0">
                  <c:v>0.11618978422920279</c:v>
                </c:pt>
                <c:pt idx="1">
                  <c:v>0.13330559294801242</c:v>
                </c:pt>
                <c:pt idx="2">
                  <c:v>0.20662056251043043</c:v>
                </c:pt>
              </c:numCache>
            </c:numRef>
          </c:val>
          <c:extLst>
            <c:ext xmlns:c16="http://schemas.microsoft.com/office/drawing/2014/chart" uri="{C3380CC4-5D6E-409C-BE32-E72D297353CC}">
              <c16:uniqueId val="{00000001-13C3-4023-B73B-C1AD2BC8ED59}"/>
            </c:ext>
          </c:extLst>
        </c:ser>
        <c:ser>
          <c:idx val="2"/>
          <c:order val="2"/>
          <c:tx>
            <c:strRef>
              <c:f>Berger!$D$147</c:f>
              <c:strCache>
                <c:ptCount val="1"/>
                <c:pt idx="0">
                  <c:v>Company FY25-26</c:v>
                </c:pt>
              </c:strCache>
            </c:strRef>
          </c:tx>
          <c:spPr>
            <a:solidFill>
              <a:schemeClr val="accent3"/>
            </a:solidFill>
            <a:ln>
              <a:noFill/>
            </a:ln>
            <a:effectLst/>
          </c:spPr>
          <c:invertIfNegative val="0"/>
          <c:cat>
            <c:strRef>
              <c:f>Berger!$A$148:$A$150</c:f>
              <c:strCache>
                <c:ptCount val="3"/>
                <c:pt idx="0">
                  <c:v>Net Profit Margin</c:v>
                </c:pt>
                <c:pt idx="1">
                  <c:v>Return on Assets (ROA)</c:v>
                </c:pt>
                <c:pt idx="2">
                  <c:v>Return on Equity (ROE)</c:v>
                </c:pt>
              </c:strCache>
            </c:strRef>
          </c:cat>
          <c:val>
            <c:numRef>
              <c:f>Berger!$D$148:$D$150</c:f>
              <c:numCache>
                <c:formatCode>0.00%</c:formatCode>
                <c:ptCount val="3"/>
                <c:pt idx="0">
                  <c:v>0.10514870298749533</c:v>
                </c:pt>
                <c:pt idx="1">
                  <c:v>0.12797740544575015</c:v>
                </c:pt>
                <c:pt idx="2">
                  <c:v>0.18224611525653781</c:v>
                </c:pt>
              </c:numCache>
            </c:numRef>
          </c:val>
          <c:extLst>
            <c:ext xmlns:c16="http://schemas.microsoft.com/office/drawing/2014/chart" uri="{C3380CC4-5D6E-409C-BE32-E72D297353CC}">
              <c16:uniqueId val="{00000002-13C3-4023-B73B-C1AD2BC8ED59}"/>
            </c:ext>
          </c:extLst>
        </c:ser>
        <c:ser>
          <c:idx val="3"/>
          <c:order val="3"/>
          <c:tx>
            <c:strRef>
              <c:f>Berger!$E$147</c:f>
              <c:strCache>
                <c:ptCount val="1"/>
                <c:pt idx="0">
                  <c:v>Industry Avg FY25-26</c:v>
                </c:pt>
              </c:strCache>
            </c:strRef>
          </c:tx>
          <c:spPr>
            <a:solidFill>
              <a:schemeClr val="accent4"/>
            </a:solidFill>
            <a:ln>
              <a:noFill/>
            </a:ln>
            <a:effectLst/>
          </c:spPr>
          <c:invertIfNegative val="0"/>
          <c:cat>
            <c:strRef>
              <c:f>Berger!$A$148:$A$150</c:f>
              <c:strCache>
                <c:ptCount val="3"/>
                <c:pt idx="0">
                  <c:v>Net Profit Margin</c:v>
                </c:pt>
                <c:pt idx="1">
                  <c:v>Return on Assets (ROA)</c:v>
                </c:pt>
                <c:pt idx="2">
                  <c:v>Return on Equity (ROE)</c:v>
                </c:pt>
              </c:strCache>
            </c:strRef>
          </c:cat>
          <c:val>
            <c:numRef>
              <c:f>Berger!$E$148:$E$150</c:f>
              <c:numCache>
                <c:formatCode>0.00%</c:formatCode>
                <c:ptCount val="3"/>
                <c:pt idx="0">
                  <c:v>0.19305876648692805</c:v>
                </c:pt>
                <c:pt idx="1">
                  <c:v>0.20609893209627583</c:v>
                </c:pt>
                <c:pt idx="2">
                  <c:v>0.33024034816826131</c:v>
                </c:pt>
              </c:numCache>
            </c:numRef>
          </c:val>
          <c:extLst>
            <c:ext xmlns:c16="http://schemas.microsoft.com/office/drawing/2014/chart" uri="{C3380CC4-5D6E-409C-BE32-E72D297353CC}">
              <c16:uniqueId val="{00000003-13C3-4023-B73B-C1AD2BC8ED59}"/>
            </c:ext>
          </c:extLst>
        </c:ser>
        <c:dLbls>
          <c:showLegendKey val="0"/>
          <c:showVal val="0"/>
          <c:showCatName val="0"/>
          <c:showSerName val="0"/>
          <c:showPercent val="0"/>
          <c:showBubbleSize val="0"/>
        </c:dLbls>
        <c:gapWidth val="219"/>
        <c:overlap val="-27"/>
        <c:axId val="929054048"/>
        <c:axId val="929074208"/>
      </c:barChart>
      <c:catAx>
        <c:axId val="92905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Profitability ratios</a:t>
                </a:r>
                <a:endParaRPr lang="en-VI"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74208"/>
        <c:crosses val="autoZero"/>
        <c:auto val="1"/>
        <c:lblAlgn val="ctr"/>
        <c:lblOffset val="100"/>
        <c:noMultiLvlLbl val="0"/>
      </c:catAx>
      <c:valAx>
        <c:axId val="929074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Percentage (%)</a:t>
                </a:r>
                <a:endParaRPr lang="en-VI"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5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D9D9D9"/>
      </a:solidFill>
      <a:round/>
    </a:ln>
    <a:effectLst/>
  </c:spPr>
  <c:txPr>
    <a:bodyPr/>
    <a:lstStyle/>
    <a:p>
      <a:pPr>
        <a:defRPr/>
      </a:pPr>
      <a:endParaRPr lang="en-V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Kansai Nerolac vs Industry Average - Liquidity &amp; Leverage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'Kansai Nerolac'!$B$117</c:f>
              <c:strCache>
                <c:ptCount val="1"/>
                <c:pt idx="0">
                  <c:v>Company FY24-25</c:v>
                </c:pt>
              </c:strCache>
            </c:strRef>
          </c:tx>
          <c:spPr>
            <a:solidFill>
              <a:schemeClr val="accent1"/>
            </a:solidFill>
            <a:ln>
              <a:noFill/>
            </a:ln>
            <a:effectLst/>
          </c:spPr>
          <c:invertIfNegative val="0"/>
          <c:cat>
            <c:strRef>
              <c:f>'Kansai Nerolac'!$A$118:$A$122</c:f>
              <c:strCache>
                <c:ptCount val="5"/>
                <c:pt idx="0">
                  <c:v>Current Ratio</c:v>
                </c:pt>
                <c:pt idx="1">
                  <c:v>Quick Ratio</c:v>
                </c:pt>
                <c:pt idx="2">
                  <c:v>Cash Ratio</c:v>
                </c:pt>
                <c:pt idx="3">
                  <c:v>Debt-to-Equity</c:v>
                </c:pt>
                <c:pt idx="4">
                  <c:v>D/E incl. Lease</c:v>
                </c:pt>
              </c:strCache>
            </c:strRef>
          </c:cat>
          <c:val>
            <c:numRef>
              <c:f>'Kansai Nerolac'!$B$118:$B$122</c:f>
              <c:numCache>
                <c:formatCode>0.00</c:formatCode>
                <c:ptCount val="5"/>
                <c:pt idx="0">
                  <c:v>4.0189850310332238</c:v>
                </c:pt>
                <c:pt idx="1">
                  <c:v>2.7685597321588098</c:v>
                </c:pt>
                <c:pt idx="2">
                  <c:v>0.20215484763036676</c:v>
                </c:pt>
                <c:pt idx="3">
                  <c:v>0</c:v>
                </c:pt>
                <c:pt idx="4">
                  <c:v>2.689189677407194E-2</c:v>
                </c:pt>
              </c:numCache>
            </c:numRef>
          </c:val>
          <c:extLst>
            <c:ext xmlns:c16="http://schemas.microsoft.com/office/drawing/2014/chart" uri="{C3380CC4-5D6E-409C-BE32-E72D297353CC}">
              <c16:uniqueId val="{00000000-2B06-4450-96D9-1031BE395B19}"/>
            </c:ext>
          </c:extLst>
        </c:ser>
        <c:ser>
          <c:idx val="1"/>
          <c:order val="1"/>
          <c:tx>
            <c:strRef>
              <c:f>'Kansai Nerolac'!$C$117</c:f>
              <c:strCache>
                <c:ptCount val="1"/>
                <c:pt idx="0">
                  <c:v>Industry Avg FY24-25</c:v>
                </c:pt>
              </c:strCache>
            </c:strRef>
          </c:tx>
          <c:spPr>
            <a:solidFill>
              <a:schemeClr val="accent2"/>
            </a:solidFill>
            <a:ln>
              <a:noFill/>
            </a:ln>
            <a:effectLst/>
          </c:spPr>
          <c:invertIfNegative val="0"/>
          <c:cat>
            <c:strRef>
              <c:f>'Kansai Nerolac'!$A$118:$A$122</c:f>
              <c:strCache>
                <c:ptCount val="5"/>
                <c:pt idx="0">
                  <c:v>Current Ratio</c:v>
                </c:pt>
                <c:pt idx="1">
                  <c:v>Quick Ratio</c:v>
                </c:pt>
                <c:pt idx="2">
                  <c:v>Cash Ratio</c:v>
                </c:pt>
                <c:pt idx="3">
                  <c:v>Debt-to-Equity</c:v>
                </c:pt>
                <c:pt idx="4">
                  <c:v>D/E incl. Lease</c:v>
                </c:pt>
              </c:strCache>
            </c:strRef>
          </c:cat>
          <c:val>
            <c:numRef>
              <c:f>'Kansai Nerolac'!$C$118:$C$122</c:f>
              <c:numCache>
                <c:formatCode>0.00</c:formatCode>
                <c:ptCount val="5"/>
                <c:pt idx="0">
                  <c:v>2.4353778229716396</c:v>
                </c:pt>
                <c:pt idx="1">
                  <c:v>1.5808142416651734</c:v>
                </c:pt>
                <c:pt idx="2">
                  <c:v>0.15262563733347595</c:v>
                </c:pt>
                <c:pt idx="3">
                  <c:v>4.2882759079160922E-4</c:v>
                </c:pt>
                <c:pt idx="4">
                  <c:v>4.8453002725657834E-2</c:v>
                </c:pt>
              </c:numCache>
            </c:numRef>
          </c:val>
          <c:extLst>
            <c:ext xmlns:c16="http://schemas.microsoft.com/office/drawing/2014/chart" uri="{C3380CC4-5D6E-409C-BE32-E72D297353CC}">
              <c16:uniqueId val="{00000001-2B06-4450-96D9-1031BE395B19}"/>
            </c:ext>
          </c:extLst>
        </c:ser>
        <c:ser>
          <c:idx val="2"/>
          <c:order val="2"/>
          <c:tx>
            <c:strRef>
              <c:f>'Kansai Nerolac'!$D$117</c:f>
              <c:strCache>
                <c:ptCount val="1"/>
                <c:pt idx="0">
                  <c:v>Company FY25-26</c:v>
                </c:pt>
              </c:strCache>
            </c:strRef>
          </c:tx>
          <c:spPr>
            <a:solidFill>
              <a:schemeClr val="accent3"/>
            </a:solidFill>
            <a:ln>
              <a:noFill/>
            </a:ln>
            <a:effectLst/>
          </c:spPr>
          <c:invertIfNegative val="0"/>
          <c:cat>
            <c:strRef>
              <c:f>'Kansai Nerolac'!$A$118:$A$122</c:f>
              <c:strCache>
                <c:ptCount val="5"/>
                <c:pt idx="0">
                  <c:v>Current Ratio</c:v>
                </c:pt>
                <c:pt idx="1">
                  <c:v>Quick Ratio</c:v>
                </c:pt>
                <c:pt idx="2">
                  <c:v>Cash Ratio</c:v>
                </c:pt>
                <c:pt idx="3">
                  <c:v>Debt-to-Equity</c:v>
                </c:pt>
                <c:pt idx="4">
                  <c:v>D/E incl. Lease</c:v>
                </c:pt>
              </c:strCache>
            </c:strRef>
          </c:cat>
          <c:val>
            <c:numRef>
              <c:f>'Kansai Nerolac'!$D$118:$D$122</c:f>
              <c:numCache>
                <c:formatCode>0.00</c:formatCode>
                <c:ptCount val="5"/>
                <c:pt idx="0">
                  <c:v>3.7476688537501919</c:v>
                </c:pt>
                <c:pt idx="1">
                  <c:v>2.751186431627497</c:v>
                </c:pt>
                <c:pt idx="2">
                  <c:v>0.12821471241965304</c:v>
                </c:pt>
                <c:pt idx="3">
                  <c:v>0</c:v>
                </c:pt>
                <c:pt idx="4">
                  <c:v>3.2438390207548941E-2</c:v>
                </c:pt>
              </c:numCache>
            </c:numRef>
          </c:val>
          <c:extLst>
            <c:ext xmlns:c16="http://schemas.microsoft.com/office/drawing/2014/chart" uri="{C3380CC4-5D6E-409C-BE32-E72D297353CC}">
              <c16:uniqueId val="{00000002-2B06-4450-96D9-1031BE395B19}"/>
            </c:ext>
          </c:extLst>
        </c:ser>
        <c:ser>
          <c:idx val="3"/>
          <c:order val="3"/>
          <c:tx>
            <c:strRef>
              <c:f>'Kansai Nerolac'!$E$117</c:f>
              <c:strCache>
                <c:ptCount val="1"/>
                <c:pt idx="0">
                  <c:v>Industry Avg FY25-26</c:v>
                </c:pt>
              </c:strCache>
            </c:strRef>
          </c:tx>
          <c:spPr>
            <a:solidFill>
              <a:schemeClr val="accent4"/>
            </a:solidFill>
            <a:ln>
              <a:noFill/>
            </a:ln>
            <a:effectLst/>
          </c:spPr>
          <c:invertIfNegative val="0"/>
          <c:cat>
            <c:strRef>
              <c:f>'Kansai Nerolac'!$A$118:$A$122</c:f>
              <c:strCache>
                <c:ptCount val="5"/>
                <c:pt idx="0">
                  <c:v>Current Ratio</c:v>
                </c:pt>
                <c:pt idx="1">
                  <c:v>Quick Ratio</c:v>
                </c:pt>
                <c:pt idx="2">
                  <c:v>Cash Ratio</c:v>
                </c:pt>
                <c:pt idx="3">
                  <c:v>Debt-to-Equity</c:v>
                </c:pt>
                <c:pt idx="4">
                  <c:v>D/E incl. Lease</c:v>
                </c:pt>
              </c:strCache>
            </c:strRef>
          </c:cat>
          <c:val>
            <c:numRef>
              <c:f>'Kansai Nerolac'!$E$118:$E$122</c:f>
              <c:numCache>
                <c:formatCode>0.00</c:formatCode>
                <c:ptCount val="5"/>
                <c:pt idx="0">
                  <c:v>2.4275972449136276</c:v>
                </c:pt>
                <c:pt idx="1">
                  <c:v>1.6811361655827657</c:v>
                </c:pt>
                <c:pt idx="2">
                  <c:v>0.11967228575278641</c:v>
                </c:pt>
                <c:pt idx="3">
                  <c:v>1.1449284846758376E-2</c:v>
                </c:pt>
                <c:pt idx="4">
                  <c:v>5.3467726099874505E-2</c:v>
                </c:pt>
              </c:numCache>
            </c:numRef>
          </c:val>
          <c:extLst>
            <c:ext xmlns:c16="http://schemas.microsoft.com/office/drawing/2014/chart" uri="{C3380CC4-5D6E-409C-BE32-E72D297353CC}">
              <c16:uniqueId val="{00000003-2B06-4450-96D9-1031BE395B19}"/>
            </c:ext>
          </c:extLst>
        </c:ser>
        <c:dLbls>
          <c:showLegendKey val="0"/>
          <c:showVal val="0"/>
          <c:showCatName val="0"/>
          <c:showSerName val="0"/>
          <c:showPercent val="0"/>
          <c:showBubbleSize val="0"/>
        </c:dLbls>
        <c:gapWidth val="219"/>
        <c:overlap val="-27"/>
        <c:axId val="929041088"/>
        <c:axId val="929046368"/>
      </c:barChart>
      <c:catAx>
        <c:axId val="92904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Liquidity and leverage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46368"/>
        <c:crosses val="autoZero"/>
        <c:auto val="1"/>
        <c:lblAlgn val="ctr"/>
        <c:lblOffset val="100"/>
        <c:noMultiLvlLbl val="0"/>
      </c:catAx>
      <c:valAx>
        <c:axId val="92904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Ratio value (times)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4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D9D9D9"/>
      </a:solidFill>
      <a:round/>
    </a:ln>
    <a:effectLst/>
  </c:spPr>
  <c:txPr>
    <a:bodyPr/>
    <a:lstStyle/>
    <a:p>
      <a:pPr>
        <a:defRPr/>
      </a:pPr>
      <a:endParaRPr lang="en-V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Kansai Nerolac vs Industry Average - Profitability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'Kansai Nerolac'!$B$143</c:f>
              <c:strCache>
                <c:ptCount val="1"/>
                <c:pt idx="0">
                  <c:v>Company FY24-25</c:v>
                </c:pt>
              </c:strCache>
            </c:strRef>
          </c:tx>
          <c:spPr>
            <a:solidFill>
              <a:schemeClr val="accent1"/>
            </a:solidFill>
            <a:ln>
              <a:noFill/>
            </a:ln>
            <a:effectLst/>
          </c:spPr>
          <c:invertIfNegative val="0"/>
          <c:cat>
            <c:strRef>
              <c:f>'Kansai Nerolac'!$A$144:$A$146</c:f>
              <c:strCache>
                <c:ptCount val="3"/>
                <c:pt idx="0">
                  <c:v>Net Profit Margin</c:v>
                </c:pt>
                <c:pt idx="1">
                  <c:v>Return on Assets (ROA)</c:v>
                </c:pt>
                <c:pt idx="2">
                  <c:v>Return on Equity (ROE)</c:v>
                </c:pt>
              </c:strCache>
            </c:strRef>
          </c:cat>
          <c:val>
            <c:numRef>
              <c:f>'Kansai Nerolac'!$B$144:$B$146</c:f>
              <c:numCache>
                <c:formatCode>0.00%</c:formatCode>
                <c:ptCount val="3"/>
                <c:pt idx="0">
                  <c:v>0.13622509073980452</c:v>
                </c:pt>
                <c:pt idx="1">
                  <c:v>0.1344263935069277</c:v>
                </c:pt>
                <c:pt idx="2">
                  <c:v>0.16993265026810936</c:v>
                </c:pt>
              </c:numCache>
            </c:numRef>
          </c:val>
          <c:extLst>
            <c:ext xmlns:c16="http://schemas.microsoft.com/office/drawing/2014/chart" uri="{C3380CC4-5D6E-409C-BE32-E72D297353CC}">
              <c16:uniqueId val="{00000000-CA41-42D1-96A7-CEECB3540AB5}"/>
            </c:ext>
          </c:extLst>
        </c:ser>
        <c:ser>
          <c:idx val="1"/>
          <c:order val="1"/>
          <c:tx>
            <c:strRef>
              <c:f>'Kansai Nerolac'!$C$143</c:f>
              <c:strCache>
                <c:ptCount val="1"/>
                <c:pt idx="0">
                  <c:v>Industry Avg FY24-25</c:v>
                </c:pt>
              </c:strCache>
            </c:strRef>
          </c:tx>
          <c:spPr>
            <a:solidFill>
              <a:schemeClr val="accent2"/>
            </a:solidFill>
            <a:ln>
              <a:noFill/>
            </a:ln>
            <a:effectLst/>
          </c:spPr>
          <c:invertIfNegative val="0"/>
          <c:cat>
            <c:strRef>
              <c:f>'Kansai Nerolac'!$A$144:$A$146</c:f>
              <c:strCache>
                <c:ptCount val="3"/>
                <c:pt idx="0">
                  <c:v>Net Profit Margin</c:v>
                </c:pt>
                <c:pt idx="1">
                  <c:v>Return on Assets (ROA)</c:v>
                </c:pt>
                <c:pt idx="2">
                  <c:v>Return on Equity (ROE)</c:v>
                </c:pt>
              </c:strCache>
            </c:strRef>
          </c:cat>
          <c:val>
            <c:numRef>
              <c:f>'Kansai Nerolac'!$C$144:$C$146</c:f>
              <c:numCache>
                <c:formatCode>0.00%</c:formatCode>
                <c:ptCount val="3"/>
                <c:pt idx="0">
                  <c:v>0.11618978422920279</c:v>
                </c:pt>
                <c:pt idx="1">
                  <c:v>0.13330559294801242</c:v>
                </c:pt>
                <c:pt idx="2">
                  <c:v>0.20662056251043043</c:v>
                </c:pt>
              </c:numCache>
            </c:numRef>
          </c:val>
          <c:extLst>
            <c:ext xmlns:c16="http://schemas.microsoft.com/office/drawing/2014/chart" uri="{C3380CC4-5D6E-409C-BE32-E72D297353CC}">
              <c16:uniqueId val="{00000001-CA41-42D1-96A7-CEECB3540AB5}"/>
            </c:ext>
          </c:extLst>
        </c:ser>
        <c:ser>
          <c:idx val="2"/>
          <c:order val="2"/>
          <c:tx>
            <c:strRef>
              <c:f>'Kansai Nerolac'!$D$143</c:f>
              <c:strCache>
                <c:ptCount val="1"/>
                <c:pt idx="0">
                  <c:v>Company FY25-26</c:v>
                </c:pt>
              </c:strCache>
            </c:strRef>
          </c:tx>
          <c:spPr>
            <a:solidFill>
              <a:schemeClr val="accent3"/>
            </a:solidFill>
            <a:ln>
              <a:noFill/>
            </a:ln>
            <a:effectLst/>
          </c:spPr>
          <c:invertIfNegative val="0"/>
          <c:cat>
            <c:strRef>
              <c:f>'Kansai Nerolac'!$A$144:$A$146</c:f>
              <c:strCache>
                <c:ptCount val="3"/>
                <c:pt idx="0">
                  <c:v>Net Profit Margin</c:v>
                </c:pt>
                <c:pt idx="1">
                  <c:v>Return on Assets (ROA)</c:v>
                </c:pt>
                <c:pt idx="2">
                  <c:v>Return on Equity (ROE)</c:v>
                </c:pt>
              </c:strCache>
            </c:strRef>
          </c:cat>
          <c:val>
            <c:numRef>
              <c:f>'Kansai Nerolac'!$D$144:$D$146</c:f>
              <c:numCache>
                <c:formatCode>0.00%</c:formatCode>
                <c:ptCount val="3"/>
                <c:pt idx="0">
                  <c:v>8.0091947131691404E-2</c:v>
                </c:pt>
                <c:pt idx="1">
                  <c:v>7.5097696063019789E-2</c:v>
                </c:pt>
                <c:pt idx="2">
                  <c:v>9.4908896034297974E-2</c:v>
                </c:pt>
              </c:numCache>
            </c:numRef>
          </c:val>
          <c:extLst>
            <c:ext xmlns:c16="http://schemas.microsoft.com/office/drawing/2014/chart" uri="{C3380CC4-5D6E-409C-BE32-E72D297353CC}">
              <c16:uniqueId val="{00000002-CA41-42D1-96A7-CEECB3540AB5}"/>
            </c:ext>
          </c:extLst>
        </c:ser>
        <c:ser>
          <c:idx val="3"/>
          <c:order val="3"/>
          <c:tx>
            <c:strRef>
              <c:f>'Kansai Nerolac'!$E$143</c:f>
              <c:strCache>
                <c:ptCount val="1"/>
                <c:pt idx="0">
                  <c:v>Industry Avg FY25-26</c:v>
                </c:pt>
              </c:strCache>
            </c:strRef>
          </c:tx>
          <c:spPr>
            <a:solidFill>
              <a:schemeClr val="accent4"/>
            </a:solidFill>
            <a:ln>
              <a:noFill/>
            </a:ln>
            <a:effectLst/>
          </c:spPr>
          <c:invertIfNegative val="0"/>
          <c:cat>
            <c:strRef>
              <c:f>'Kansai Nerolac'!$A$144:$A$146</c:f>
              <c:strCache>
                <c:ptCount val="3"/>
                <c:pt idx="0">
                  <c:v>Net Profit Margin</c:v>
                </c:pt>
                <c:pt idx="1">
                  <c:v>Return on Assets (ROA)</c:v>
                </c:pt>
                <c:pt idx="2">
                  <c:v>Return on Equity (ROE)</c:v>
                </c:pt>
              </c:strCache>
            </c:strRef>
          </c:cat>
          <c:val>
            <c:numRef>
              <c:f>'Kansai Nerolac'!$E$144:$E$146</c:f>
              <c:numCache>
                <c:formatCode>0.00%</c:formatCode>
                <c:ptCount val="3"/>
                <c:pt idx="0">
                  <c:v>0.19305876648692805</c:v>
                </c:pt>
                <c:pt idx="1">
                  <c:v>0.20609893209627583</c:v>
                </c:pt>
                <c:pt idx="2">
                  <c:v>0.33024034816826131</c:v>
                </c:pt>
              </c:numCache>
            </c:numRef>
          </c:val>
          <c:extLst>
            <c:ext xmlns:c16="http://schemas.microsoft.com/office/drawing/2014/chart" uri="{C3380CC4-5D6E-409C-BE32-E72D297353CC}">
              <c16:uniqueId val="{00000003-CA41-42D1-96A7-CEECB3540AB5}"/>
            </c:ext>
          </c:extLst>
        </c:ser>
        <c:dLbls>
          <c:showLegendKey val="0"/>
          <c:showVal val="0"/>
          <c:showCatName val="0"/>
          <c:showSerName val="0"/>
          <c:showPercent val="0"/>
          <c:showBubbleSize val="0"/>
        </c:dLbls>
        <c:gapWidth val="219"/>
        <c:overlap val="-27"/>
        <c:axId val="929049728"/>
        <c:axId val="929064608"/>
      </c:barChart>
      <c:catAx>
        <c:axId val="92904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Profitability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64608"/>
        <c:crosses val="autoZero"/>
        <c:auto val="1"/>
        <c:lblAlgn val="ctr"/>
        <c:lblOffset val="100"/>
        <c:noMultiLvlLbl val="0"/>
      </c:catAx>
      <c:valAx>
        <c:axId val="92906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Percentage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49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D9D9D9"/>
      </a:solidFill>
      <a:round/>
    </a:ln>
    <a:effectLst/>
  </c:spPr>
  <c:txPr>
    <a:bodyPr/>
    <a:lstStyle/>
    <a:p>
      <a:pPr>
        <a:defRPr/>
      </a:pPr>
      <a:endParaRPr lang="en-VI"/>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Asian Paints vs Industry Average - Liquidity &amp; Leverage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'Asian Paints'!$B$117</c:f>
              <c:strCache>
                <c:ptCount val="1"/>
                <c:pt idx="0">
                  <c:v>Company FY24-25</c:v>
                </c:pt>
              </c:strCache>
            </c:strRef>
          </c:tx>
          <c:spPr>
            <a:solidFill>
              <a:schemeClr val="accent1"/>
            </a:solidFill>
            <a:ln>
              <a:noFill/>
            </a:ln>
            <a:effectLst/>
          </c:spPr>
          <c:invertIfNegative val="0"/>
          <c:cat>
            <c:strRef>
              <c:f>'Asian Paints'!$A$118:$A$122</c:f>
              <c:strCache>
                <c:ptCount val="5"/>
                <c:pt idx="0">
                  <c:v>Current Ratio</c:v>
                </c:pt>
                <c:pt idx="1">
                  <c:v>Quick Ratio</c:v>
                </c:pt>
                <c:pt idx="2">
                  <c:v>Cash Ratio</c:v>
                </c:pt>
                <c:pt idx="3">
                  <c:v>Debt-to-Equity</c:v>
                </c:pt>
                <c:pt idx="4">
                  <c:v>D/E incl. Lease</c:v>
                </c:pt>
              </c:strCache>
            </c:strRef>
          </c:cat>
          <c:val>
            <c:numRef>
              <c:f>'Asian Paints'!$B$118:$B$122</c:f>
              <c:numCache>
                <c:formatCode>0.00</c:formatCode>
                <c:ptCount val="5"/>
                <c:pt idx="0">
                  <c:v>2.298500691740935</c:v>
                </c:pt>
                <c:pt idx="1">
                  <c:v>1.3576960200765742</c:v>
                </c:pt>
                <c:pt idx="2">
                  <c:v>3.2540780541166631E-2</c:v>
                </c:pt>
                <c:pt idx="3">
                  <c:v>2.0754887934140631E-3</c:v>
                </c:pt>
                <c:pt idx="4">
                  <c:v>6.3150697343163642E-2</c:v>
                </c:pt>
              </c:numCache>
            </c:numRef>
          </c:val>
          <c:extLst>
            <c:ext xmlns:c16="http://schemas.microsoft.com/office/drawing/2014/chart" uri="{C3380CC4-5D6E-409C-BE32-E72D297353CC}">
              <c16:uniqueId val="{00000000-1657-4A68-9B29-11914C6CFAE0}"/>
            </c:ext>
          </c:extLst>
        </c:ser>
        <c:ser>
          <c:idx val="1"/>
          <c:order val="1"/>
          <c:tx>
            <c:strRef>
              <c:f>'Asian Paints'!$C$117</c:f>
              <c:strCache>
                <c:ptCount val="1"/>
                <c:pt idx="0">
                  <c:v>Industry Avg FY24-25</c:v>
                </c:pt>
              </c:strCache>
            </c:strRef>
          </c:tx>
          <c:spPr>
            <a:solidFill>
              <a:schemeClr val="accent2"/>
            </a:solidFill>
            <a:ln>
              <a:noFill/>
            </a:ln>
            <a:effectLst/>
          </c:spPr>
          <c:invertIfNegative val="0"/>
          <c:cat>
            <c:strRef>
              <c:f>'Asian Paints'!$A$118:$A$122</c:f>
              <c:strCache>
                <c:ptCount val="5"/>
                <c:pt idx="0">
                  <c:v>Current Ratio</c:v>
                </c:pt>
                <c:pt idx="1">
                  <c:v>Quick Ratio</c:v>
                </c:pt>
                <c:pt idx="2">
                  <c:v>Cash Ratio</c:v>
                </c:pt>
                <c:pt idx="3">
                  <c:v>Debt-to-Equity</c:v>
                </c:pt>
                <c:pt idx="4">
                  <c:v>D/E incl. Lease</c:v>
                </c:pt>
              </c:strCache>
            </c:strRef>
          </c:cat>
          <c:val>
            <c:numRef>
              <c:f>'Asian Paints'!$C$118:$C$122</c:f>
              <c:numCache>
                <c:formatCode>0.00</c:formatCode>
                <c:ptCount val="5"/>
                <c:pt idx="0">
                  <c:v>2.4353778229716396</c:v>
                </c:pt>
                <c:pt idx="1">
                  <c:v>1.5808142416651734</c:v>
                </c:pt>
                <c:pt idx="2">
                  <c:v>0.15262563733347595</c:v>
                </c:pt>
                <c:pt idx="3">
                  <c:v>4.2882759079160922E-4</c:v>
                </c:pt>
                <c:pt idx="4">
                  <c:v>4.8453002725657834E-2</c:v>
                </c:pt>
              </c:numCache>
            </c:numRef>
          </c:val>
          <c:extLst>
            <c:ext xmlns:c16="http://schemas.microsoft.com/office/drawing/2014/chart" uri="{C3380CC4-5D6E-409C-BE32-E72D297353CC}">
              <c16:uniqueId val="{00000001-1657-4A68-9B29-11914C6CFAE0}"/>
            </c:ext>
          </c:extLst>
        </c:ser>
        <c:ser>
          <c:idx val="2"/>
          <c:order val="2"/>
          <c:tx>
            <c:strRef>
              <c:f>'Asian Paints'!$D$117</c:f>
              <c:strCache>
                <c:ptCount val="1"/>
                <c:pt idx="0">
                  <c:v>Company FY25-26</c:v>
                </c:pt>
              </c:strCache>
            </c:strRef>
          </c:tx>
          <c:spPr>
            <a:solidFill>
              <a:schemeClr val="accent3"/>
            </a:solidFill>
            <a:ln>
              <a:noFill/>
            </a:ln>
            <a:effectLst/>
          </c:spPr>
          <c:invertIfNegative val="0"/>
          <c:cat>
            <c:strRef>
              <c:f>'Asian Paints'!$A$118:$A$122</c:f>
              <c:strCache>
                <c:ptCount val="5"/>
                <c:pt idx="0">
                  <c:v>Current Ratio</c:v>
                </c:pt>
                <c:pt idx="1">
                  <c:v>Quick Ratio</c:v>
                </c:pt>
                <c:pt idx="2">
                  <c:v>Cash Ratio</c:v>
                </c:pt>
                <c:pt idx="3">
                  <c:v>Debt-to-Equity</c:v>
                </c:pt>
                <c:pt idx="4">
                  <c:v>D/E incl. Lease</c:v>
                </c:pt>
              </c:strCache>
            </c:strRef>
          </c:cat>
          <c:val>
            <c:numRef>
              <c:f>'Asian Paints'!$D$118:$D$122</c:f>
              <c:numCache>
                <c:formatCode>0.00</c:formatCode>
                <c:ptCount val="5"/>
                <c:pt idx="0">
                  <c:v>2.4631067046538049</c:v>
                </c:pt>
                <c:pt idx="1">
                  <c:v>1.7744366160996192</c:v>
                </c:pt>
                <c:pt idx="2">
                  <c:v>6.3709341296168356E-2</c:v>
                </c:pt>
                <c:pt idx="3">
                  <c:v>5.7246424233791879E-2</c:v>
                </c:pt>
                <c:pt idx="4">
                  <c:v>0.11399336719668783</c:v>
                </c:pt>
              </c:numCache>
            </c:numRef>
          </c:val>
          <c:extLst>
            <c:ext xmlns:c16="http://schemas.microsoft.com/office/drawing/2014/chart" uri="{C3380CC4-5D6E-409C-BE32-E72D297353CC}">
              <c16:uniqueId val="{00000002-1657-4A68-9B29-11914C6CFAE0}"/>
            </c:ext>
          </c:extLst>
        </c:ser>
        <c:ser>
          <c:idx val="3"/>
          <c:order val="3"/>
          <c:tx>
            <c:strRef>
              <c:f>'Asian Paints'!$E$117</c:f>
              <c:strCache>
                <c:ptCount val="1"/>
                <c:pt idx="0">
                  <c:v>Industry Avg FY25-26</c:v>
                </c:pt>
              </c:strCache>
            </c:strRef>
          </c:tx>
          <c:spPr>
            <a:solidFill>
              <a:schemeClr val="accent4"/>
            </a:solidFill>
            <a:ln>
              <a:noFill/>
            </a:ln>
            <a:effectLst/>
          </c:spPr>
          <c:invertIfNegative val="0"/>
          <c:cat>
            <c:strRef>
              <c:f>'Asian Paints'!$A$118:$A$122</c:f>
              <c:strCache>
                <c:ptCount val="5"/>
                <c:pt idx="0">
                  <c:v>Current Ratio</c:v>
                </c:pt>
                <c:pt idx="1">
                  <c:v>Quick Ratio</c:v>
                </c:pt>
                <c:pt idx="2">
                  <c:v>Cash Ratio</c:v>
                </c:pt>
                <c:pt idx="3">
                  <c:v>Debt-to-Equity</c:v>
                </c:pt>
                <c:pt idx="4">
                  <c:v>D/E incl. Lease</c:v>
                </c:pt>
              </c:strCache>
            </c:strRef>
          </c:cat>
          <c:val>
            <c:numRef>
              <c:f>'Asian Paints'!$E$118:$E$122</c:f>
              <c:numCache>
                <c:formatCode>0.00</c:formatCode>
                <c:ptCount val="5"/>
                <c:pt idx="0">
                  <c:v>2.4275972449136276</c:v>
                </c:pt>
                <c:pt idx="1">
                  <c:v>1.6811361655827657</c:v>
                </c:pt>
                <c:pt idx="2">
                  <c:v>0.11967228575278641</c:v>
                </c:pt>
                <c:pt idx="3">
                  <c:v>1.1449284846758376E-2</c:v>
                </c:pt>
                <c:pt idx="4">
                  <c:v>5.3467726099874505E-2</c:v>
                </c:pt>
              </c:numCache>
            </c:numRef>
          </c:val>
          <c:extLst>
            <c:ext xmlns:c16="http://schemas.microsoft.com/office/drawing/2014/chart" uri="{C3380CC4-5D6E-409C-BE32-E72D297353CC}">
              <c16:uniqueId val="{00000003-1657-4A68-9B29-11914C6CFAE0}"/>
            </c:ext>
          </c:extLst>
        </c:ser>
        <c:dLbls>
          <c:showLegendKey val="0"/>
          <c:showVal val="0"/>
          <c:showCatName val="0"/>
          <c:showSerName val="0"/>
          <c:showPercent val="0"/>
          <c:showBubbleSize val="0"/>
        </c:dLbls>
        <c:gapWidth val="219"/>
        <c:overlap val="-27"/>
        <c:axId val="929063168"/>
        <c:axId val="929058368"/>
      </c:barChart>
      <c:catAx>
        <c:axId val="92906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Liquidity and leverage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58368"/>
        <c:crosses val="autoZero"/>
        <c:auto val="1"/>
        <c:lblAlgn val="ctr"/>
        <c:lblOffset val="100"/>
        <c:noMultiLvlLbl val="0"/>
      </c:catAx>
      <c:valAx>
        <c:axId val="929058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Ratio value (times)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6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V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Asian Paints vs Industry Average - Profitability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'Asian Paints'!$B$143</c:f>
              <c:strCache>
                <c:ptCount val="1"/>
                <c:pt idx="0">
                  <c:v>Company FY24-25</c:v>
                </c:pt>
              </c:strCache>
            </c:strRef>
          </c:tx>
          <c:spPr>
            <a:solidFill>
              <a:schemeClr val="accent1"/>
            </a:solidFill>
            <a:ln>
              <a:noFill/>
            </a:ln>
            <a:effectLst/>
          </c:spPr>
          <c:invertIfNegative val="0"/>
          <c:cat>
            <c:strRef>
              <c:f>'Asian Paints'!$A$144:$A$146</c:f>
              <c:strCache>
                <c:ptCount val="3"/>
                <c:pt idx="0">
                  <c:v>Net Profit Margin</c:v>
                </c:pt>
                <c:pt idx="1">
                  <c:v>Return on Assets (ROA)</c:v>
                </c:pt>
                <c:pt idx="2">
                  <c:v>Return on Equity (ROE)</c:v>
                </c:pt>
              </c:strCache>
            </c:strRef>
          </c:cat>
          <c:val>
            <c:numRef>
              <c:f>'Asian Paints'!$B$144:$B$146</c:f>
              <c:numCache>
                <c:formatCode>0.00%</c:formatCode>
                <c:ptCount val="3"/>
                <c:pt idx="0">
                  <c:v>0.12130485760160256</c:v>
                </c:pt>
                <c:pt idx="1">
                  <c:v>0.13607762567910608</c:v>
                </c:pt>
                <c:pt idx="2">
                  <c:v>0.19236244551560497</c:v>
                </c:pt>
              </c:numCache>
            </c:numRef>
          </c:val>
          <c:extLst>
            <c:ext xmlns:c16="http://schemas.microsoft.com/office/drawing/2014/chart" uri="{C3380CC4-5D6E-409C-BE32-E72D297353CC}">
              <c16:uniqueId val="{00000000-0D5E-47C1-A98F-095E11574E10}"/>
            </c:ext>
          </c:extLst>
        </c:ser>
        <c:ser>
          <c:idx val="1"/>
          <c:order val="1"/>
          <c:tx>
            <c:strRef>
              <c:f>'Asian Paints'!$C$143</c:f>
              <c:strCache>
                <c:ptCount val="1"/>
                <c:pt idx="0">
                  <c:v>Industry Avg FY24-25</c:v>
                </c:pt>
              </c:strCache>
            </c:strRef>
          </c:tx>
          <c:spPr>
            <a:solidFill>
              <a:schemeClr val="accent2"/>
            </a:solidFill>
            <a:ln>
              <a:noFill/>
            </a:ln>
            <a:effectLst/>
          </c:spPr>
          <c:invertIfNegative val="0"/>
          <c:cat>
            <c:strRef>
              <c:f>'Asian Paints'!$A$144:$A$146</c:f>
              <c:strCache>
                <c:ptCount val="3"/>
                <c:pt idx="0">
                  <c:v>Net Profit Margin</c:v>
                </c:pt>
                <c:pt idx="1">
                  <c:v>Return on Assets (ROA)</c:v>
                </c:pt>
                <c:pt idx="2">
                  <c:v>Return on Equity (ROE)</c:v>
                </c:pt>
              </c:strCache>
            </c:strRef>
          </c:cat>
          <c:val>
            <c:numRef>
              <c:f>'Asian Paints'!$C$144:$C$146</c:f>
              <c:numCache>
                <c:formatCode>0.00%</c:formatCode>
                <c:ptCount val="3"/>
                <c:pt idx="0">
                  <c:v>0.11618978422920279</c:v>
                </c:pt>
                <c:pt idx="1">
                  <c:v>0.13330559294801242</c:v>
                </c:pt>
                <c:pt idx="2">
                  <c:v>0.20662056251043043</c:v>
                </c:pt>
              </c:numCache>
            </c:numRef>
          </c:val>
          <c:extLst>
            <c:ext xmlns:c16="http://schemas.microsoft.com/office/drawing/2014/chart" uri="{C3380CC4-5D6E-409C-BE32-E72D297353CC}">
              <c16:uniqueId val="{00000001-0D5E-47C1-A98F-095E11574E10}"/>
            </c:ext>
          </c:extLst>
        </c:ser>
        <c:ser>
          <c:idx val="2"/>
          <c:order val="2"/>
          <c:tx>
            <c:strRef>
              <c:f>'Asian Paints'!$D$143</c:f>
              <c:strCache>
                <c:ptCount val="1"/>
                <c:pt idx="0">
                  <c:v>Company FY25-26</c:v>
                </c:pt>
              </c:strCache>
            </c:strRef>
          </c:tx>
          <c:spPr>
            <a:solidFill>
              <a:schemeClr val="accent3"/>
            </a:solidFill>
            <a:ln>
              <a:noFill/>
            </a:ln>
            <a:effectLst/>
          </c:spPr>
          <c:invertIfNegative val="0"/>
          <c:cat>
            <c:strRef>
              <c:f>'Asian Paints'!$A$144:$A$146</c:f>
              <c:strCache>
                <c:ptCount val="3"/>
                <c:pt idx="0">
                  <c:v>Net Profit Margin</c:v>
                </c:pt>
                <c:pt idx="1">
                  <c:v>Return on Assets (ROA)</c:v>
                </c:pt>
                <c:pt idx="2">
                  <c:v>Return on Equity (ROE)</c:v>
                </c:pt>
              </c:strCache>
            </c:strRef>
          </c:cat>
          <c:val>
            <c:numRef>
              <c:f>'Asian Paints'!$D$144:$D$146</c:f>
              <c:numCache>
                <c:formatCode>0.00%</c:formatCode>
                <c:ptCount val="3"/>
                <c:pt idx="0">
                  <c:v>0.13793440773129739</c:v>
                </c:pt>
                <c:pt idx="1">
                  <c:v>0.14960756905016925</c:v>
                </c:pt>
                <c:pt idx="2">
                  <c:v>0.21346237800842147</c:v>
                </c:pt>
              </c:numCache>
            </c:numRef>
          </c:val>
          <c:extLst>
            <c:ext xmlns:c16="http://schemas.microsoft.com/office/drawing/2014/chart" uri="{C3380CC4-5D6E-409C-BE32-E72D297353CC}">
              <c16:uniqueId val="{00000002-0D5E-47C1-A98F-095E11574E10}"/>
            </c:ext>
          </c:extLst>
        </c:ser>
        <c:ser>
          <c:idx val="3"/>
          <c:order val="3"/>
          <c:tx>
            <c:strRef>
              <c:f>'Asian Paints'!$E$143</c:f>
              <c:strCache>
                <c:ptCount val="1"/>
                <c:pt idx="0">
                  <c:v>Industry Avg FY25-26</c:v>
                </c:pt>
              </c:strCache>
            </c:strRef>
          </c:tx>
          <c:spPr>
            <a:solidFill>
              <a:schemeClr val="accent4"/>
            </a:solidFill>
            <a:ln>
              <a:noFill/>
            </a:ln>
            <a:effectLst/>
          </c:spPr>
          <c:invertIfNegative val="0"/>
          <c:cat>
            <c:strRef>
              <c:f>'Asian Paints'!$A$144:$A$146</c:f>
              <c:strCache>
                <c:ptCount val="3"/>
                <c:pt idx="0">
                  <c:v>Net Profit Margin</c:v>
                </c:pt>
                <c:pt idx="1">
                  <c:v>Return on Assets (ROA)</c:v>
                </c:pt>
                <c:pt idx="2">
                  <c:v>Return on Equity (ROE)</c:v>
                </c:pt>
              </c:strCache>
            </c:strRef>
          </c:cat>
          <c:val>
            <c:numRef>
              <c:f>'Asian Paints'!$E$144:$E$146</c:f>
              <c:numCache>
                <c:formatCode>0.00%</c:formatCode>
                <c:ptCount val="3"/>
                <c:pt idx="0">
                  <c:v>0.19305876648692805</c:v>
                </c:pt>
                <c:pt idx="1">
                  <c:v>0.20609893209627583</c:v>
                </c:pt>
                <c:pt idx="2">
                  <c:v>0.33024034816826131</c:v>
                </c:pt>
              </c:numCache>
            </c:numRef>
          </c:val>
          <c:extLst>
            <c:ext xmlns:c16="http://schemas.microsoft.com/office/drawing/2014/chart" uri="{C3380CC4-5D6E-409C-BE32-E72D297353CC}">
              <c16:uniqueId val="{00000003-0D5E-47C1-A98F-095E11574E10}"/>
            </c:ext>
          </c:extLst>
        </c:ser>
        <c:dLbls>
          <c:showLegendKey val="0"/>
          <c:showVal val="0"/>
          <c:showCatName val="0"/>
          <c:showSerName val="0"/>
          <c:showPercent val="0"/>
          <c:showBubbleSize val="0"/>
        </c:dLbls>
        <c:gapWidth val="219"/>
        <c:overlap val="-27"/>
        <c:axId val="929051648"/>
        <c:axId val="929049248"/>
      </c:barChart>
      <c:catAx>
        <c:axId val="92905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Profitability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49248"/>
        <c:crosses val="autoZero"/>
        <c:auto val="1"/>
        <c:lblAlgn val="ctr"/>
        <c:lblOffset val="100"/>
        <c:noMultiLvlLbl val="0"/>
      </c:catAx>
      <c:valAx>
        <c:axId val="92904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Percentage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51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V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JSW Dulux vs Industry Average - Liquidity &amp; Leverage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'JSW Dulux'!$B$117</c:f>
              <c:strCache>
                <c:ptCount val="1"/>
                <c:pt idx="0">
                  <c:v>Company FY24-25</c:v>
                </c:pt>
              </c:strCache>
            </c:strRef>
          </c:tx>
          <c:spPr>
            <a:solidFill>
              <a:schemeClr val="accent1"/>
            </a:solidFill>
            <a:ln>
              <a:noFill/>
            </a:ln>
            <a:effectLst/>
          </c:spPr>
          <c:invertIfNegative val="0"/>
          <c:cat>
            <c:strRef>
              <c:f>'JSW Dulux'!$A$118:$A$122</c:f>
              <c:strCache>
                <c:ptCount val="5"/>
                <c:pt idx="0">
                  <c:v>Current Ratio</c:v>
                </c:pt>
                <c:pt idx="1">
                  <c:v>Quick Ratio</c:v>
                </c:pt>
                <c:pt idx="2">
                  <c:v>Cash Ratio</c:v>
                </c:pt>
                <c:pt idx="3">
                  <c:v>Debt-to-Equity</c:v>
                </c:pt>
                <c:pt idx="4">
                  <c:v>D/E incl. Lease</c:v>
                </c:pt>
              </c:strCache>
            </c:strRef>
          </c:cat>
          <c:val>
            <c:numRef>
              <c:f>'JSW Dulux'!$B$118:$B$122</c:f>
              <c:numCache>
                <c:formatCode>0.00</c:formatCode>
                <c:ptCount val="5"/>
                <c:pt idx="0">
                  <c:v>1.3793959453868432</c:v>
                </c:pt>
                <c:pt idx="1">
                  <c:v>0.96241897669286991</c:v>
                </c:pt>
                <c:pt idx="2">
                  <c:v>0.20652323817404494</c:v>
                </c:pt>
                <c:pt idx="3">
                  <c:v>0</c:v>
                </c:pt>
                <c:pt idx="4">
                  <c:v>4.673741250846692E-2</c:v>
                </c:pt>
              </c:numCache>
            </c:numRef>
          </c:val>
          <c:extLst>
            <c:ext xmlns:c16="http://schemas.microsoft.com/office/drawing/2014/chart" uri="{C3380CC4-5D6E-409C-BE32-E72D297353CC}">
              <c16:uniqueId val="{00000000-64F0-4FD9-80A8-6B50E92E60EA}"/>
            </c:ext>
          </c:extLst>
        </c:ser>
        <c:ser>
          <c:idx val="1"/>
          <c:order val="1"/>
          <c:tx>
            <c:strRef>
              <c:f>'JSW Dulux'!$C$117</c:f>
              <c:strCache>
                <c:ptCount val="1"/>
                <c:pt idx="0">
                  <c:v>Industry Avg FY24-25</c:v>
                </c:pt>
              </c:strCache>
            </c:strRef>
          </c:tx>
          <c:spPr>
            <a:solidFill>
              <a:schemeClr val="accent2"/>
            </a:solidFill>
            <a:ln>
              <a:noFill/>
            </a:ln>
            <a:effectLst/>
          </c:spPr>
          <c:invertIfNegative val="0"/>
          <c:cat>
            <c:strRef>
              <c:f>'JSW Dulux'!$A$118:$A$122</c:f>
              <c:strCache>
                <c:ptCount val="5"/>
                <c:pt idx="0">
                  <c:v>Current Ratio</c:v>
                </c:pt>
                <c:pt idx="1">
                  <c:v>Quick Ratio</c:v>
                </c:pt>
                <c:pt idx="2">
                  <c:v>Cash Ratio</c:v>
                </c:pt>
                <c:pt idx="3">
                  <c:v>Debt-to-Equity</c:v>
                </c:pt>
                <c:pt idx="4">
                  <c:v>D/E incl. Lease</c:v>
                </c:pt>
              </c:strCache>
            </c:strRef>
          </c:cat>
          <c:val>
            <c:numRef>
              <c:f>'JSW Dulux'!$C$118:$C$122</c:f>
              <c:numCache>
                <c:formatCode>0.00</c:formatCode>
                <c:ptCount val="5"/>
                <c:pt idx="0">
                  <c:v>2.4353778229716396</c:v>
                </c:pt>
                <c:pt idx="1">
                  <c:v>1.5808142416651734</c:v>
                </c:pt>
                <c:pt idx="2">
                  <c:v>0.15262563733347595</c:v>
                </c:pt>
                <c:pt idx="3">
                  <c:v>4.2882759079160922E-4</c:v>
                </c:pt>
                <c:pt idx="4">
                  <c:v>4.8453002725657834E-2</c:v>
                </c:pt>
              </c:numCache>
            </c:numRef>
          </c:val>
          <c:extLst>
            <c:ext xmlns:c16="http://schemas.microsoft.com/office/drawing/2014/chart" uri="{C3380CC4-5D6E-409C-BE32-E72D297353CC}">
              <c16:uniqueId val="{00000001-64F0-4FD9-80A8-6B50E92E60EA}"/>
            </c:ext>
          </c:extLst>
        </c:ser>
        <c:ser>
          <c:idx val="2"/>
          <c:order val="2"/>
          <c:tx>
            <c:strRef>
              <c:f>'JSW Dulux'!$D$117</c:f>
              <c:strCache>
                <c:ptCount val="1"/>
                <c:pt idx="0">
                  <c:v>Company FY25-26</c:v>
                </c:pt>
              </c:strCache>
            </c:strRef>
          </c:tx>
          <c:spPr>
            <a:solidFill>
              <a:schemeClr val="accent3"/>
            </a:solidFill>
            <a:ln>
              <a:noFill/>
            </a:ln>
            <a:effectLst/>
          </c:spPr>
          <c:invertIfNegative val="0"/>
          <c:cat>
            <c:strRef>
              <c:f>'JSW Dulux'!$A$118:$A$122</c:f>
              <c:strCache>
                <c:ptCount val="5"/>
                <c:pt idx="0">
                  <c:v>Current Ratio</c:v>
                </c:pt>
                <c:pt idx="1">
                  <c:v>Quick Ratio</c:v>
                </c:pt>
                <c:pt idx="2">
                  <c:v>Cash Ratio</c:v>
                </c:pt>
                <c:pt idx="3">
                  <c:v>Debt-to-Equity</c:v>
                </c:pt>
                <c:pt idx="4">
                  <c:v>D/E incl. Lease</c:v>
                </c:pt>
              </c:strCache>
            </c:strRef>
          </c:cat>
          <c:val>
            <c:numRef>
              <c:f>'JSW Dulux'!$D$118:$D$122</c:f>
              <c:numCache>
                <c:formatCode>0.00</c:formatCode>
                <c:ptCount val="5"/>
                <c:pt idx="0">
                  <c:v>1.5167063387110995</c:v>
                </c:pt>
                <c:pt idx="1">
                  <c:v>1.0132240148108969</c:v>
                </c:pt>
                <c:pt idx="2">
                  <c:v>0.22657145376002821</c:v>
                </c:pt>
                <c:pt idx="3">
                  <c:v>0</c:v>
                </c:pt>
                <c:pt idx="4">
                  <c:v>3.3038175591011611E-2</c:v>
                </c:pt>
              </c:numCache>
            </c:numRef>
          </c:val>
          <c:extLst>
            <c:ext xmlns:c16="http://schemas.microsoft.com/office/drawing/2014/chart" uri="{C3380CC4-5D6E-409C-BE32-E72D297353CC}">
              <c16:uniqueId val="{00000002-64F0-4FD9-80A8-6B50E92E60EA}"/>
            </c:ext>
          </c:extLst>
        </c:ser>
        <c:ser>
          <c:idx val="3"/>
          <c:order val="3"/>
          <c:tx>
            <c:strRef>
              <c:f>'JSW Dulux'!$E$117</c:f>
              <c:strCache>
                <c:ptCount val="1"/>
                <c:pt idx="0">
                  <c:v>Industry Avg FY25-26</c:v>
                </c:pt>
              </c:strCache>
            </c:strRef>
          </c:tx>
          <c:spPr>
            <a:solidFill>
              <a:schemeClr val="accent4"/>
            </a:solidFill>
            <a:ln>
              <a:noFill/>
            </a:ln>
            <a:effectLst/>
          </c:spPr>
          <c:invertIfNegative val="0"/>
          <c:cat>
            <c:strRef>
              <c:f>'JSW Dulux'!$A$118:$A$122</c:f>
              <c:strCache>
                <c:ptCount val="5"/>
                <c:pt idx="0">
                  <c:v>Current Ratio</c:v>
                </c:pt>
                <c:pt idx="1">
                  <c:v>Quick Ratio</c:v>
                </c:pt>
                <c:pt idx="2">
                  <c:v>Cash Ratio</c:v>
                </c:pt>
                <c:pt idx="3">
                  <c:v>Debt-to-Equity</c:v>
                </c:pt>
                <c:pt idx="4">
                  <c:v>D/E incl. Lease</c:v>
                </c:pt>
              </c:strCache>
            </c:strRef>
          </c:cat>
          <c:val>
            <c:numRef>
              <c:f>'JSW Dulux'!$E$118:$E$122</c:f>
              <c:numCache>
                <c:formatCode>0.00</c:formatCode>
                <c:ptCount val="5"/>
                <c:pt idx="0">
                  <c:v>2.4275972449136276</c:v>
                </c:pt>
                <c:pt idx="1">
                  <c:v>1.6811361655827657</c:v>
                </c:pt>
                <c:pt idx="2">
                  <c:v>0.11967228575278641</c:v>
                </c:pt>
                <c:pt idx="3">
                  <c:v>1.1449284846758376E-2</c:v>
                </c:pt>
                <c:pt idx="4">
                  <c:v>5.3467726099874505E-2</c:v>
                </c:pt>
              </c:numCache>
            </c:numRef>
          </c:val>
          <c:extLst>
            <c:ext xmlns:c16="http://schemas.microsoft.com/office/drawing/2014/chart" uri="{C3380CC4-5D6E-409C-BE32-E72D297353CC}">
              <c16:uniqueId val="{00000003-64F0-4FD9-80A8-6B50E92E60EA}"/>
            </c:ext>
          </c:extLst>
        </c:ser>
        <c:dLbls>
          <c:showLegendKey val="0"/>
          <c:showVal val="0"/>
          <c:showCatName val="0"/>
          <c:showSerName val="0"/>
          <c:showPercent val="0"/>
          <c:showBubbleSize val="0"/>
        </c:dLbls>
        <c:gapWidth val="219"/>
        <c:overlap val="-27"/>
        <c:axId val="929020448"/>
        <c:axId val="929034848"/>
      </c:barChart>
      <c:catAx>
        <c:axId val="929020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Liquidity and leverage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34848"/>
        <c:crosses val="autoZero"/>
        <c:auto val="1"/>
        <c:lblAlgn val="ctr"/>
        <c:lblOffset val="100"/>
        <c:noMultiLvlLbl val="0"/>
      </c:catAx>
      <c:valAx>
        <c:axId val="92903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Ratio value (times)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20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VI"/>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JSW Dulux vs Industry Average - Profitability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'JSW Dulux'!$B$143</c:f>
              <c:strCache>
                <c:ptCount val="1"/>
                <c:pt idx="0">
                  <c:v>Company FY24-25</c:v>
                </c:pt>
              </c:strCache>
            </c:strRef>
          </c:tx>
          <c:spPr>
            <a:solidFill>
              <a:schemeClr val="accent1"/>
            </a:solidFill>
            <a:ln>
              <a:noFill/>
            </a:ln>
            <a:effectLst/>
          </c:spPr>
          <c:invertIfNegative val="0"/>
          <c:cat>
            <c:strRef>
              <c:f>'JSW Dulux'!$A$144:$A$146</c:f>
              <c:strCache>
                <c:ptCount val="3"/>
                <c:pt idx="0">
                  <c:v>Net Profit Margin</c:v>
                </c:pt>
                <c:pt idx="1">
                  <c:v>Return on Assets (ROA)</c:v>
                </c:pt>
                <c:pt idx="2">
                  <c:v>Return on Equity (ROE)</c:v>
                </c:pt>
              </c:strCache>
            </c:strRef>
          </c:cat>
          <c:val>
            <c:numRef>
              <c:f>'JSW Dulux'!$B$144:$B$146</c:f>
              <c:numCache>
                <c:formatCode>0.00%</c:formatCode>
                <c:ptCount val="3"/>
                <c:pt idx="0">
                  <c:v>0.10476143918654675</c:v>
                </c:pt>
                <c:pt idx="1">
                  <c:v>0.14767598111842331</c:v>
                </c:pt>
                <c:pt idx="2">
                  <c:v>0.32251025245494563</c:v>
                </c:pt>
              </c:numCache>
            </c:numRef>
          </c:val>
          <c:extLst>
            <c:ext xmlns:c16="http://schemas.microsoft.com/office/drawing/2014/chart" uri="{C3380CC4-5D6E-409C-BE32-E72D297353CC}">
              <c16:uniqueId val="{00000000-0D87-4CB5-B242-07D862E48CE3}"/>
            </c:ext>
          </c:extLst>
        </c:ser>
        <c:ser>
          <c:idx val="1"/>
          <c:order val="1"/>
          <c:tx>
            <c:strRef>
              <c:f>'JSW Dulux'!$C$143</c:f>
              <c:strCache>
                <c:ptCount val="1"/>
                <c:pt idx="0">
                  <c:v>Industry Avg FY24-25</c:v>
                </c:pt>
              </c:strCache>
            </c:strRef>
          </c:tx>
          <c:spPr>
            <a:solidFill>
              <a:schemeClr val="accent2"/>
            </a:solidFill>
            <a:ln>
              <a:noFill/>
            </a:ln>
            <a:effectLst/>
          </c:spPr>
          <c:invertIfNegative val="0"/>
          <c:cat>
            <c:strRef>
              <c:f>'JSW Dulux'!$A$144:$A$146</c:f>
              <c:strCache>
                <c:ptCount val="3"/>
                <c:pt idx="0">
                  <c:v>Net Profit Margin</c:v>
                </c:pt>
                <c:pt idx="1">
                  <c:v>Return on Assets (ROA)</c:v>
                </c:pt>
                <c:pt idx="2">
                  <c:v>Return on Equity (ROE)</c:v>
                </c:pt>
              </c:strCache>
            </c:strRef>
          </c:cat>
          <c:val>
            <c:numRef>
              <c:f>'JSW Dulux'!$C$144:$C$146</c:f>
              <c:numCache>
                <c:formatCode>0.00%</c:formatCode>
                <c:ptCount val="3"/>
                <c:pt idx="0">
                  <c:v>0.11618978422920279</c:v>
                </c:pt>
                <c:pt idx="1">
                  <c:v>0.13330559294801242</c:v>
                </c:pt>
                <c:pt idx="2">
                  <c:v>0.20662056251043043</c:v>
                </c:pt>
              </c:numCache>
            </c:numRef>
          </c:val>
          <c:extLst>
            <c:ext xmlns:c16="http://schemas.microsoft.com/office/drawing/2014/chart" uri="{C3380CC4-5D6E-409C-BE32-E72D297353CC}">
              <c16:uniqueId val="{00000001-0D87-4CB5-B242-07D862E48CE3}"/>
            </c:ext>
          </c:extLst>
        </c:ser>
        <c:ser>
          <c:idx val="2"/>
          <c:order val="2"/>
          <c:tx>
            <c:strRef>
              <c:f>'JSW Dulux'!$D$143</c:f>
              <c:strCache>
                <c:ptCount val="1"/>
                <c:pt idx="0">
                  <c:v>Company FY25-26</c:v>
                </c:pt>
              </c:strCache>
            </c:strRef>
          </c:tx>
          <c:spPr>
            <a:solidFill>
              <a:schemeClr val="accent3"/>
            </a:solidFill>
            <a:ln>
              <a:noFill/>
            </a:ln>
            <a:effectLst/>
          </c:spPr>
          <c:invertIfNegative val="0"/>
          <c:cat>
            <c:strRef>
              <c:f>'JSW Dulux'!$A$144:$A$146</c:f>
              <c:strCache>
                <c:ptCount val="3"/>
                <c:pt idx="0">
                  <c:v>Net Profit Margin</c:v>
                </c:pt>
                <c:pt idx="1">
                  <c:v>Return on Assets (ROA)</c:v>
                </c:pt>
                <c:pt idx="2">
                  <c:v>Return on Equity (ROE)</c:v>
                </c:pt>
              </c:strCache>
            </c:strRef>
          </c:cat>
          <c:val>
            <c:numRef>
              <c:f>'JSW Dulux'!$D$144:$D$146</c:f>
              <c:numCache>
                <c:formatCode>0.00%</c:formatCode>
                <c:ptCount val="3"/>
                <c:pt idx="0">
                  <c:v>0.53281284729939993</c:v>
                </c:pt>
                <c:pt idx="1">
                  <c:v>0.57849170437405728</c:v>
                </c:pt>
                <c:pt idx="2">
                  <c:v>1.030218378146069</c:v>
                </c:pt>
              </c:numCache>
            </c:numRef>
          </c:val>
          <c:extLst>
            <c:ext xmlns:c16="http://schemas.microsoft.com/office/drawing/2014/chart" uri="{C3380CC4-5D6E-409C-BE32-E72D297353CC}">
              <c16:uniqueId val="{00000002-0D87-4CB5-B242-07D862E48CE3}"/>
            </c:ext>
          </c:extLst>
        </c:ser>
        <c:ser>
          <c:idx val="3"/>
          <c:order val="3"/>
          <c:tx>
            <c:strRef>
              <c:f>'JSW Dulux'!$E$143</c:f>
              <c:strCache>
                <c:ptCount val="1"/>
                <c:pt idx="0">
                  <c:v>Industry Avg FY25-26</c:v>
                </c:pt>
              </c:strCache>
            </c:strRef>
          </c:tx>
          <c:spPr>
            <a:solidFill>
              <a:schemeClr val="accent4"/>
            </a:solidFill>
            <a:ln>
              <a:noFill/>
            </a:ln>
            <a:effectLst/>
          </c:spPr>
          <c:invertIfNegative val="0"/>
          <c:cat>
            <c:strRef>
              <c:f>'JSW Dulux'!$A$144:$A$146</c:f>
              <c:strCache>
                <c:ptCount val="3"/>
                <c:pt idx="0">
                  <c:v>Net Profit Margin</c:v>
                </c:pt>
                <c:pt idx="1">
                  <c:v>Return on Assets (ROA)</c:v>
                </c:pt>
                <c:pt idx="2">
                  <c:v>Return on Equity (ROE)</c:v>
                </c:pt>
              </c:strCache>
            </c:strRef>
          </c:cat>
          <c:val>
            <c:numRef>
              <c:f>'JSW Dulux'!$E$144:$E$146</c:f>
              <c:numCache>
                <c:formatCode>0.00%</c:formatCode>
                <c:ptCount val="3"/>
                <c:pt idx="0">
                  <c:v>0.19305876648692805</c:v>
                </c:pt>
                <c:pt idx="1">
                  <c:v>0.20609893209627583</c:v>
                </c:pt>
                <c:pt idx="2">
                  <c:v>0.33024034816826131</c:v>
                </c:pt>
              </c:numCache>
            </c:numRef>
          </c:val>
          <c:extLst>
            <c:ext xmlns:c16="http://schemas.microsoft.com/office/drawing/2014/chart" uri="{C3380CC4-5D6E-409C-BE32-E72D297353CC}">
              <c16:uniqueId val="{00000003-0D87-4CB5-B242-07D862E48CE3}"/>
            </c:ext>
          </c:extLst>
        </c:ser>
        <c:dLbls>
          <c:showLegendKey val="0"/>
          <c:showVal val="0"/>
          <c:showCatName val="0"/>
          <c:showSerName val="0"/>
          <c:showPercent val="0"/>
          <c:showBubbleSize val="0"/>
        </c:dLbls>
        <c:gapWidth val="219"/>
        <c:overlap val="-27"/>
        <c:axId val="929048768"/>
        <c:axId val="929078528"/>
      </c:barChart>
      <c:catAx>
        <c:axId val="929048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Profitability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78528"/>
        <c:crosses val="autoZero"/>
        <c:auto val="1"/>
        <c:lblAlgn val="ctr"/>
        <c:lblOffset val="100"/>
        <c:noMultiLvlLbl val="0"/>
      </c:catAx>
      <c:valAx>
        <c:axId val="92907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Percentage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48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VI"/>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Indigo Paints vs Industry Average - Liquidity &amp; Leverage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'Indigo Paints'!$B$117</c:f>
              <c:strCache>
                <c:ptCount val="1"/>
                <c:pt idx="0">
                  <c:v>Company FY24-25</c:v>
                </c:pt>
              </c:strCache>
            </c:strRef>
          </c:tx>
          <c:spPr>
            <a:solidFill>
              <a:schemeClr val="accent1"/>
            </a:solidFill>
            <a:ln>
              <a:noFill/>
            </a:ln>
            <a:effectLst/>
          </c:spPr>
          <c:invertIfNegative val="0"/>
          <c:cat>
            <c:strRef>
              <c:f>'Indigo Paints'!$A$118:$A$122</c:f>
              <c:strCache>
                <c:ptCount val="5"/>
                <c:pt idx="0">
                  <c:v>Current Ratio</c:v>
                </c:pt>
                <c:pt idx="1">
                  <c:v>Quick Ratio</c:v>
                </c:pt>
                <c:pt idx="2">
                  <c:v>Cash Ratio</c:v>
                </c:pt>
                <c:pt idx="3">
                  <c:v>Debt-to-Equity</c:v>
                </c:pt>
                <c:pt idx="4">
                  <c:v>D/E incl. Lease</c:v>
                </c:pt>
              </c:strCache>
            </c:strRef>
          </c:cat>
          <c:val>
            <c:numRef>
              <c:f>'Indigo Paints'!$B$118:$B$122</c:f>
              <c:numCache>
                <c:formatCode>0.00</c:formatCode>
                <c:ptCount val="5"/>
                <c:pt idx="0">
                  <c:v>2.3982855870565531</c:v>
                </c:pt>
                <c:pt idx="1">
                  <c:v>1.8448864479738754</c:v>
                </c:pt>
                <c:pt idx="2">
                  <c:v>0.13767255454950275</c:v>
                </c:pt>
                <c:pt idx="3">
                  <c:v>0</c:v>
                </c:pt>
                <c:pt idx="4">
                  <c:v>1.8795199114622092E-2</c:v>
                </c:pt>
              </c:numCache>
            </c:numRef>
          </c:val>
          <c:extLst>
            <c:ext xmlns:c16="http://schemas.microsoft.com/office/drawing/2014/chart" uri="{C3380CC4-5D6E-409C-BE32-E72D297353CC}">
              <c16:uniqueId val="{00000000-56CD-4D6D-A693-70AE06A64953}"/>
            </c:ext>
          </c:extLst>
        </c:ser>
        <c:ser>
          <c:idx val="1"/>
          <c:order val="1"/>
          <c:tx>
            <c:strRef>
              <c:f>'Indigo Paints'!$C$117</c:f>
              <c:strCache>
                <c:ptCount val="1"/>
                <c:pt idx="0">
                  <c:v>Industry Avg FY24-25</c:v>
                </c:pt>
              </c:strCache>
            </c:strRef>
          </c:tx>
          <c:spPr>
            <a:solidFill>
              <a:schemeClr val="accent2"/>
            </a:solidFill>
            <a:ln>
              <a:noFill/>
            </a:ln>
            <a:effectLst/>
          </c:spPr>
          <c:invertIfNegative val="0"/>
          <c:cat>
            <c:strRef>
              <c:f>'Indigo Paints'!$A$118:$A$122</c:f>
              <c:strCache>
                <c:ptCount val="5"/>
                <c:pt idx="0">
                  <c:v>Current Ratio</c:v>
                </c:pt>
                <c:pt idx="1">
                  <c:v>Quick Ratio</c:v>
                </c:pt>
                <c:pt idx="2">
                  <c:v>Cash Ratio</c:v>
                </c:pt>
                <c:pt idx="3">
                  <c:v>Debt-to-Equity</c:v>
                </c:pt>
                <c:pt idx="4">
                  <c:v>D/E incl. Lease</c:v>
                </c:pt>
              </c:strCache>
            </c:strRef>
          </c:cat>
          <c:val>
            <c:numRef>
              <c:f>'Indigo Paints'!$C$118:$C$122</c:f>
              <c:numCache>
                <c:formatCode>0.00</c:formatCode>
                <c:ptCount val="5"/>
                <c:pt idx="0">
                  <c:v>2.4353778229716396</c:v>
                </c:pt>
                <c:pt idx="1">
                  <c:v>1.5808142416651734</c:v>
                </c:pt>
                <c:pt idx="2">
                  <c:v>0.15262563733347595</c:v>
                </c:pt>
                <c:pt idx="3">
                  <c:v>4.2882759079160922E-4</c:v>
                </c:pt>
                <c:pt idx="4">
                  <c:v>4.8453002725657834E-2</c:v>
                </c:pt>
              </c:numCache>
            </c:numRef>
          </c:val>
          <c:extLst>
            <c:ext xmlns:c16="http://schemas.microsoft.com/office/drawing/2014/chart" uri="{C3380CC4-5D6E-409C-BE32-E72D297353CC}">
              <c16:uniqueId val="{00000001-56CD-4D6D-A693-70AE06A64953}"/>
            </c:ext>
          </c:extLst>
        </c:ser>
        <c:ser>
          <c:idx val="2"/>
          <c:order val="2"/>
          <c:tx>
            <c:strRef>
              <c:f>'Indigo Paints'!$D$117</c:f>
              <c:strCache>
                <c:ptCount val="1"/>
                <c:pt idx="0">
                  <c:v>Company FY25-26</c:v>
                </c:pt>
              </c:strCache>
            </c:strRef>
          </c:tx>
          <c:spPr>
            <a:solidFill>
              <a:schemeClr val="accent3"/>
            </a:solidFill>
            <a:ln>
              <a:noFill/>
            </a:ln>
            <a:effectLst/>
          </c:spPr>
          <c:invertIfNegative val="0"/>
          <c:cat>
            <c:strRef>
              <c:f>'Indigo Paints'!$A$118:$A$122</c:f>
              <c:strCache>
                <c:ptCount val="5"/>
                <c:pt idx="0">
                  <c:v>Current Ratio</c:v>
                </c:pt>
                <c:pt idx="1">
                  <c:v>Quick Ratio</c:v>
                </c:pt>
                <c:pt idx="2">
                  <c:v>Cash Ratio</c:v>
                </c:pt>
                <c:pt idx="3">
                  <c:v>Debt-to-Equity</c:v>
                </c:pt>
                <c:pt idx="4">
                  <c:v>D/E incl. Lease</c:v>
                </c:pt>
              </c:strCache>
            </c:strRef>
          </c:cat>
          <c:val>
            <c:numRef>
              <c:f>'Indigo Paints'!$D$118:$D$122</c:f>
              <c:numCache>
                <c:formatCode>0.00</c:formatCode>
                <c:ptCount val="5"/>
                <c:pt idx="0">
                  <c:v>2.225504490843345</c:v>
                </c:pt>
                <c:pt idx="1">
                  <c:v>1.7208095182549863</c:v>
                </c:pt>
                <c:pt idx="2">
                  <c:v>8.32555698122011E-2</c:v>
                </c:pt>
                <c:pt idx="3">
                  <c:v>0</c:v>
                </c:pt>
                <c:pt idx="4">
                  <c:v>1.5545312301771896E-2</c:v>
                </c:pt>
              </c:numCache>
            </c:numRef>
          </c:val>
          <c:extLst>
            <c:ext xmlns:c16="http://schemas.microsoft.com/office/drawing/2014/chart" uri="{C3380CC4-5D6E-409C-BE32-E72D297353CC}">
              <c16:uniqueId val="{00000002-56CD-4D6D-A693-70AE06A64953}"/>
            </c:ext>
          </c:extLst>
        </c:ser>
        <c:ser>
          <c:idx val="3"/>
          <c:order val="3"/>
          <c:tx>
            <c:strRef>
              <c:f>'Indigo Paints'!$E$117</c:f>
              <c:strCache>
                <c:ptCount val="1"/>
                <c:pt idx="0">
                  <c:v>Industry Avg FY25-26</c:v>
                </c:pt>
              </c:strCache>
            </c:strRef>
          </c:tx>
          <c:spPr>
            <a:solidFill>
              <a:schemeClr val="accent4"/>
            </a:solidFill>
            <a:ln>
              <a:noFill/>
            </a:ln>
            <a:effectLst/>
          </c:spPr>
          <c:invertIfNegative val="0"/>
          <c:cat>
            <c:strRef>
              <c:f>'Indigo Paints'!$A$118:$A$122</c:f>
              <c:strCache>
                <c:ptCount val="5"/>
                <c:pt idx="0">
                  <c:v>Current Ratio</c:v>
                </c:pt>
                <c:pt idx="1">
                  <c:v>Quick Ratio</c:v>
                </c:pt>
                <c:pt idx="2">
                  <c:v>Cash Ratio</c:v>
                </c:pt>
                <c:pt idx="3">
                  <c:v>Debt-to-Equity</c:v>
                </c:pt>
                <c:pt idx="4">
                  <c:v>D/E incl. Lease</c:v>
                </c:pt>
              </c:strCache>
            </c:strRef>
          </c:cat>
          <c:val>
            <c:numRef>
              <c:f>'Indigo Paints'!$E$118:$E$122</c:f>
              <c:numCache>
                <c:formatCode>0.00</c:formatCode>
                <c:ptCount val="5"/>
                <c:pt idx="0">
                  <c:v>2.4275972449136276</c:v>
                </c:pt>
                <c:pt idx="1">
                  <c:v>1.6811361655827657</c:v>
                </c:pt>
                <c:pt idx="2">
                  <c:v>0.11967228575278641</c:v>
                </c:pt>
                <c:pt idx="3">
                  <c:v>1.1449284846758376E-2</c:v>
                </c:pt>
                <c:pt idx="4">
                  <c:v>5.3467726099874505E-2</c:v>
                </c:pt>
              </c:numCache>
            </c:numRef>
          </c:val>
          <c:extLst>
            <c:ext xmlns:c16="http://schemas.microsoft.com/office/drawing/2014/chart" uri="{C3380CC4-5D6E-409C-BE32-E72D297353CC}">
              <c16:uniqueId val="{00000003-56CD-4D6D-A693-70AE06A64953}"/>
            </c:ext>
          </c:extLst>
        </c:ser>
        <c:dLbls>
          <c:showLegendKey val="0"/>
          <c:showVal val="0"/>
          <c:showCatName val="0"/>
          <c:showSerName val="0"/>
          <c:showPercent val="0"/>
          <c:showBubbleSize val="0"/>
        </c:dLbls>
        <c:gapWidth val="219"/>
        <c:overlap val="-27"/>
        <c:axId val="929076608"/>
        <c:axId val="929078048"/>
      </c:barChart>
      <c:catAx>
        <c:axId val="92907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Liquidity and leverage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78048"/>
        <c:crosses val="autoZero"/>
        <c:auto val="1"/>
        <c:lblAlgn val="ctr"/>
        <c:lblOffset val="100"/>
        <c:noMultiLvlLbl val="0"/>
      </c:catAx>
      <c:valAx>
        <c:axId val="92907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Ratio value (times)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76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VI"/>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Times New Roman"/>
              </a:rPr>
              <a:t>Indigo Paints vs Industry Average - Profitability (FY2024-25 &amp; FY2025-26)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I"/>
        </a:p>
      </c:txPr>
    </c:title>
    <c:autoTitleDeleted val="0"/>
    <c:plotArea>
      <c:layout/>
      <c:barChart>
        <c:barDir val="col"/>
        <c:grouping val="clustered"/>
        <c:varyColors val="0"/>
        <c:ser>
          <c:idx val="0"/>
          <c:order val="0"/>
          <c:tx>
            <c:strRef>
              <c:f>'Indigo Paints'!$B$143</c:f>
              <c:strCache>
                <c:ptCount val="1"/>
                <c:pt idx="0">
                  <c:v>Company FY24-25</c:v>
                </c:pt>
              </c:strCache>
            </c:strRef>
          </c:tx>
          <c:spPr>
            <a:solidFill>
              <a:schemeClr val="accent1"/>
            </a:solidFill>
            <a:ln>
              <a:noFill/>
            </a:ln>
            <a:effectLst/>
          </c:spPr>
          <c:invertIfNegative val="0"/>
          <c:cat>
            <c:strRef>
              <c:f>'Indigo Paints'!$A$144:$A$146</c:f>
              <c:strCache>
                <c:ptCount val="3"/>
                <c:pt idx="0">
                  <c:v>Net Profit Margin</c:v>
                </c:pt>
                <c:pt idx="1">
                  <c:v>Return on Assets (ROA)</c:v>
                </c:pt>
                <c:pt idx="2">
                  <c:v>Return on Equity (ROE)</c:v>
                </c:pt>
              </c:strCache>
            </c:strRef>
          </c:cat>
          <c:val>
            <c:numRef>
              <c:f>'Indigo Paints'!$B$144:$B$146</c:f>
              <c:numCache>
                <c:formatCode>0.00%</c:formatCode>
                <c:ptCount val="3"/>
                <c:pt idx="0">
                  <c:v>0.11270053789960773</c:v>
                </c:pt>
                <c:pt idx="1">
                  <c:v>0.1115935062719985</c:v>
                </c:pt>
                <c:pt idx="2">
                  <c:v>0.14663739487879543</c:v>
                </c:pt>
              </c:numCache>
            </c:numRef>
          </c:val>
          <c:extLst>
            <c:ext xmlns:c16="http://schemas.microsoft.com/office/drawing/2014/chart" uri="{C3380CC4-5D6E-409C-BE32-E72D297353CC}">
              <c16:uniqueId val="{00000000-9BAB-48A0-BDCA-F6CA2DDB0888}"/>
            </c:ext>
          </c:extLst>
        </c:ser>
        <c:ser>
          <c:idx val="1"/>
          <c:order val="1"/>
          <c:tx>
            <c:strRef>
              <c:f>'Indigo Paints'!$C$143</c:f>
              <c:strCache>
                <c:ptCount val="1"/>
                <c:pt idx="0">
                  <c:v>Industry Avg FY24-25</c:v>
                </c:pt>
              </c:strCache>
            </c:strRef>
          </c:tx>
          <c:spPr>
            <a:solidFill>
              <a:schemeClr val="accent2"/>
            </a:solidFill>
            <a:ln>
              <a:noFill/>
            </a:ln>
            <a:effectLst/>
          </c:spPr>
          <c:invertIfNegative val="0"/>
          <c:cat>
            <c:strRef>
              <c:f>'Indigo Paints'!$A$144:$A$146</c:f>
              <c:strCache>
                <c:ptCount val="3"/>
                <c:pt idx="0">
                  <c:v>Net Profit Margin</c:v>
                </c:pt>
                <c:pt idx="1">
                  <c:v>Return on Assets (ROA)</c:v>
                </c:pt>
                <c:pt idx="2">
                  <c:v>Return on Equity (ROE)</c:v>
                </c:pt>
              </c:strCache>
            </c:strRef>
          </c:cat>
          <c:val>
            <c:numRef>
              <c:f>'Indigo Paints'!$C$144:$C$146</c:f>
              <c:numCache>
                <c:formatCode>0.00%</c:formatCode>
                <c:ptCount val="3"/>
                <c:pt idx="0">
                  <c:v>0.11618978422920279</c:v>
                </c:pt>
                <c:pt idx="1">
                  <c:v>0.13330559294801242</c:v>
                </c:pt>
                <c:pt idx="2">
                  <c:v>0.20662056251043043</c:v>
                </c:pt>
              </c:numCache>
            </c:numRef>
          </c:val>
          <c:extLst>
            <c:ext xmlns:c16="http://schemas.microsoft.com/office/drawing/2014/chart" uri="{C3380CC4-5D6E-409C-BE32-E72D297353CC}">
              <c16:uniqueId val="{00000001-9BAB-48A0-BDCA-F6CA2DDB0888}"/>
            </c:ext>
          </c:extLst>
        </c:ser>
        <c:ser>
          <c:idx val="2"/>
          <c:order val="2"/>
          <c:tx>
            <c:strRef>
              <c:f>'Indigo Paints'!$D$143</c:f>
              <c:strCache>
                <c:ptCount val="1"/>
                <c:pt idx="0">
                  <c:v>Company FY25-26</c:v>
                </c:pt>
              </c:strCache>
            </c:strRef>
          </c:tx>
          <c:spPr>
            <a:solidFill>
              <a:schemeClr val="accent3"/>
            </a:solidFill>
            <a:ln>
              <a:noFill/>
            </a:ln>
            <a:effectLst/>
          </c:spPr>
          <c:invertIfNegative val="0"/>
          <c:cat>
            <c:strRef>
              <c:f>'Indigo Paints'!$A$144:$A$146</c:f>
              <c:strCache>
                <c:ptCount val="3"/>
                <c:pt idx="0">
                  <c:v>Net Profit Margin</c:v>
                </c:pt>
                <c:pt idx="1">
                  <c:v>Return on Assets (ROA)</c:v>
                </c:pt>
                <c:pt idx="2">
                  <c:v>Return on Equity (ROE)</c:v>
                </c:pt>
              </c:strCache>
            </c:strRef>
          </c:cat>
          <c:val>
            <c:numRef>
              <c:f>'Indigo Paints'!$D$144:$D$146</c:f>
              <c:numCache>
                <c:formatCode>0.00%</c:formatCode>
                <c:ptCount val="3"/>
                <c:pt idx="0">
                  <c:v>0.10930592728475626</c:v>
                </c:pt>
                <c:pt idx="1">
                  <c:v>9.9320285548382681E-2</c:v>
                </c:pt>
                <c:pt idx="2">
                  <c:v>0.13036597339598024</c:v>
                </c:pt>
              </c:numCache>
            </c:numRef>
          </c:val>
          <c:extLst>
            <c:ext xmlns:c16="http://schemas.microsoft.com/office/drawing/2014/chart" uri="{C3380CC4-5D6E-409C-BE32-E72D297353CC}">
              <c16:uniqueId val="{00000002-9BAB-48A0-BDCA-F6CA2DDB0888}"/>
            </c:ext>
          </c:extLst>
        </c:ser>
        <c:ser>
          <c:idx val="3"/>
          <c:order val="3"/>
          <c:tx>
            <c:strRef>
              <c:f>'Indigo Paints'!$E$143</c:f>
              <c:strCache>
                <c:ptCount val="1"/>
                <c:pt idx="0">
                  <c:v>Industry Avg FY25-26</c:v>
                </c:pt>
              </c:strCache>
            </c:strRef>
          </c:tx>
          <c:spPr>
            <a:solidFill>
              <a:schemeClr val="accent4"/>
            </a:solidFill>
            <a:ln>
              <a:noFill/>
            </a:ln>
            <a:effectLst/>
          </c:spPr>
          <c:invertIfNegative val="0"/>
          <c:cat>
            <c:strRef>
              <c:f>'Indigo Paints'!$A$144:$A$146</c:f>
              <c:strCache>
                <c:ptCount val="3"/>
                <c:pt idx="0">
                  <c:v>Net Profit Margin</c:v>
                </c:pt>
                <c:pt idx="1">
                  <c:v>Return on Assets (ROA)</c:v>
                </c:pt>
                <c:pt idx="2">
                  <c:v>Return on Equity (ROE)</c:v>
                </c:pt>
              </c:strCache>
            </c:strRef>
          </c:cat>
          <c:val>
            <c:numRef>
              <c:f>'Indigo Paints'!$E$144:$E$146</c:f>
              <c:numCache>
                <c:formatCode>0.00%</c:formatCode>
                <c:ptCount val="3"/>
                <c:pt idx="0">
                  <c:v>0.19305876648692805</c:v>
                </c:pt>
                <c:pt idx="1">
                  <c:v>0.20609893209627583</c:v>
                </c:pt>
                <c:pt idx="2">
                  <c:v>0.33024034816826131</c:v>
                </c:pt>
              </c:numCache>
            </c:numRef>
          </c:val>
          <c:extLst>
            <c:ext xmlns:c16="http://schemas.microsoft.com/office/drawing/2014/chart" uri="{C3380CC4-5D6E-409C-BE32-E72D297353CC}">
              <c16:uniqueId val="{00000003-9BAB-48A0-BDCA-F6CA2DDB0888}"/>
            </c:ext>
          </c:extLst>
        </c:ser>
        <c:dLbls>
          <c:showLegendKey val="0"/>
          <c:showVal val="0"/>
          <c:showCatName val="0"/>
          <c:showSerName val="0"/>
          <c:showPercent val="0"/>
          <c:showBubbleSize val="0"/>
        </c:dLbls>
        <c:gapWidth val="219"/>
        <c:overlap val="-27"/>
        <c:axId val="929082368"/>
        <c:axId val="929079968"/>
      </c:barChart>
      <c:catAx>
        <c:axId val="92908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Profitability ratios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79968"/>
        <c:crosses val="autoZero"/>
        <c:auto val="1"/>
        <c:lblAlgn val="ctr"/>
        <c:lblOffset val="100"/>
        <c:noMultiLvlLbl val="0"/>
      </c:catAx>
      <c:valAx>
        <c:axId val="92907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spc="-1" baseline="0">
                    <a:solidFill>
                      <a:srgbClr val="000000"/>
                    </a:solidFill>
                    <a:latin typeface="Times New Roman"/>
                  </a:rPr>
                  <a:t>Percentage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I"/>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crossAx val="929082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VI"/>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300" b="1">
                <a:solidFill>
                  <a:srgbClr val="000000"/>
                </a:solidFill>
                <a:latin typeface="Times New Roman"/>
                <a:cs typeface="Times New Roman"/>
              </a:defRPr>
            </a:pPr>
            <a:r>
              <a:rPr lang="en-IN" sz="1300" b="1">
                <a:solidFill>
                  <a:srgbClr val="000000"/>
                </a:solidFill>
                <a:latin typeface="Times New Roman"/>
                <a:cs typeface="Times New Roman"/>
              </a:rPr>
              <a:t>Current Ratio: Companies vs Industry Average</a:t>
            </a:r>
          </a:p>
        </c:rich>
      </c:tx>
      <c:overlay val="0"/>
    </c:title>
    <c:autoTitleDeleted val="0"/>
    <c:plotArea>
      <c:layout/>
      <c:barChart>
        <c:barDir val="col"/>
        <c:grouping val="clustered"/>
        <c:varyColors val="0"/>
        <c:ser>
          <c:idx val="0"/>
          <c:order val="0"/>
          <c:tx>
            <c:strRef>
              <c:f>'Industry Summary'!$A$46</c:f>
              <c:strCache>
                <c:ptCount val="1"/>
                <c:pt idx="0">
                  <c:v>FY2024-25</c:v>
                </c:pt>
              </c:strCache>
            </c:strRef>
          </c:tx>
          <c:spPr>
            <a:solidFill>
              <a:srgbClr val="4472C4"/>
            </a:solidFill>
          </c:spPr>
          <c:invertIfNegative val="0"/>
          <c:dLbls>
            <c:numFmt formatCode="0.00&quot;x&quot;"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Summary'!$B$47,'Industry Summary'!$D$47,'Industry Summary'!$F$47,'Industry Summary'!$H$47,'Industry Summary'!$J$47,'Industry Summary'!$L$47)</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Summary'!$B$48,'Industry Summary'!$D$48,'Industry Summary'!$F$48,'Industry Summary'!$H$48,'Industry Summary'!$J$48,'Industry Summary'!$L$48)</c:f>
              <c:numCache>
                <c:formatCode>0.00\x</c:formatCode>
                <c:ptCount val="6"/>
                <c:pt idx="0">
                  <c:v>2.0817218596406413</c:v>
                </c:pt>
                <c:pt idx="1">
                  <c:v>2.298500691740935</c:v>
                </c:pt>
                <c:pt idx="2">
                  <c:v>2.3982855870565531</c:v>
                </c:pt>
                <c:pt idx="3">
                  <c:v>1.3793959453868432</c:v>
                </c:pt>
                <c:pt idx="4">
                  <c:v>4.0189850310332238</c:v>
                </c:pt>
                <c:pt idx="5">
                  <c:v>2.4353778229716396</c:v>
                </c:pt>
              </c:numCache>
            </c:numRef>
          </c:val>
          <c:extLst>
            <c:ext xmlns:c16="http://schemas.microsoft.com/office/drawing/2014/chart" uri="{C3380CC4-5D6E-409C-BE32-E72D297353CC}">
              <c16:uniqueId val="{00000000-0731-40FE-9E10-1CFBDA356BA5}"/>
            </c:ext>
          </c:extLst>
        </c:ser>
        <c:ser>
          <c:idx val="1"/>
          <c:order val="1"/>
          <c:tx>
            <c:strRef>
              <c:f>'Industry Summary'!$A$58</c:f>
              <c:strCache>
                <c:ptCount val="1"/>
                <c:pt idx="0">
                  <c:v>FY2025-26</c:v>
                </c:pt>
              </c:strCache>
            </c:strRef>
          </c:tx>
          <c:spPr>
            <a:solidFill>
              <a:srgbClr val="ED7D31"/>
            </a:solidFill>
          </c:spPr>
          <c:invertIfNegative val="0"/>
          <c:dLbls>
            <c:numFmt formatCode="0.00&quot;x&quot;"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Summary'!$B$59,'Industry Summary'!$D$59,'Industry Summary'!$F$59,'Industry Summary'!$H$59,'Industry Summary'!$J$59,'Industry Summary'!$L$59)</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Summary'!$B$60,'Industry Summary'!$D$60,'Industry Summary'!$F$60,'Industry Summary'!$H$60,'Industry Summary'!$J$60,'Industry Summary'!$L$60)</c:f>
              <c:numCache>
                <c:formatCode>0.00\x</c:formatCode>
                <c:ptCount val="6"/>
                <c:pt idx="0">
                  <c:v>2.1849998366096979</c:v>
                </c:pt>
                <c:pt idx="1">
                  <c:v>2.4631067046538049</c:v>
                </c:pt>
                <c:pt idx="2">
                  <c:v>2.225504490843345</c:v>
                </c:pt>
                <c:pt idx="3">
                  <c:v>1.5167063387110995</c:v>
                </c:pt>
                <c:pt idx="4">
                  <c:v>3.7476688537501919</c:v>
                </c:pt>
                <c:pt idx="5">
                  <c:v>2.4275972449136276</c:v>
                </c:pt>
              </c:numCache>
            </c:numRef>
          </c:val>
          <c:extLst>
            <c:ext xmlns:c16="http://schemas.microsoft.com/office/drawing/2014/chart" uri="{C3380CC4-5D6E-409C-BE32-E72D297353CC}">
              <c16:uniqueId val="{00000001-0731-40FE-9E10-1CFBDA356BA5}"/>
            </c:ext>
          </c:extLst>
        </c:ser>
        <c:dLbls>
          <c:showLegendKey val="0"/>
          <c:showVal val="0"/>
          <c:showCatName val="0"/>
          <c:showSerName val="0"/>
          <c:showPercent val="0"/>
          <c:showBubbleSize val="0"/>
        </c:dLbls>
        <c:gapWidth val="80"/>
        <c:axId val="510000"/>
        <c:axId val="510001"/>
      </c:barChart>
      <c:catAx>
        <c:axId val="510000"/>
        <c:scaling>
          <c:orientation val="minMax"/>
        </c:scaling>
        <c:delete val="0"/>
        <c:axPos val="b"/>
        <c:title>
          <c:tx>
            <c:rich>
              <a:bodyPr/>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Company</a:t>
                </a:r>
              </a:p>
            </c:rich>
          </c:tx>
          <c:overlay val="0"/>
        </c:title>
        <c:numFmt formatCode="General" sourceLinked="0"/>
        <c:majorTickMark val="out"/>
        <c:minorTickMark val="none"/>
        <c:tickLblPos val="low"/>
        <c:txPr>
          <a:bodyPr/>
          <a:lstStyle/>
          <a:p>
            <a:pPr>
              <a:defRPr sz="800" b="0">
                <a:solidFill>
                  <a:srgbClr val="000000"/>
                </a:solidFill>
                <a:latin typeface="Times New Roman"/>
                <a:cs typeface="Times New Roman"/>
              </a:defRPr>
            </a:pPr>
            <a:endParaRPr lang="en-US"/>
          </a:p>
        </c:txPr>
        <c:crossAx val="510001"/>
        <c:crosses val="autoZero"/>
        <c:auto val="1"/>
        <c:lblAlgn val="ctr"/>
        <c:lblOffset val="100"/>
        <c:noMultiLvlLbl val="0"/>
      </c:catAx>
      <c:valAx>
        <c:axId val="510001"/>
        <c:scaling>
          <c:orientation val="minMax"/>
        </c:scaling>
        <c:delete val="0"/>
        <c:axPos val="l"/>
        <c:majorGridlines>
          <c:spPr>
            <a:ln w="6350">
              <a:solidFill>
                <a:srgbClr val="D9D9D9"/>
              </a:solidFill>
            </a:ln>
          </c:spPr>
        </c:majorGridlines>
        <c:title>
          <c:tx>
            <c:rich>
              <a:bodyPr rot="-5400000" vert="horz"/>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Current ratio (times)</a:t>
                </a:r>
              </a:p>
            </c:rich>
          </c:tx>
          <c:overlay val="0"/>
        </c:title>
        <c:numFmt formatCode="0.00&quot;x&quot;" sourceLinked="0"/>
        <c:majorTickMark val="out"/>
        <c:minorTickMark val="none"/>
        <c:tickLblPos val="nextTo"/>
        <c:txPr>
          <a:bodyPr/>
          <a:lstStyle/>
          <a:p>
            <a:pPr>
              <a:defRPr sz="900" b="0">
                <a:solidFill>
                  <a:srgbClr val="000000"/>
                </a:solidFill>
                <a:latin typeface="Times New Roman"/>
                <a:cs typeface="Times New Roman"/>
              </a:defRPr>
            </a:pPr>
            <a:endParaRPr lang="en-US"/>
          </a:p>
        </c:txPr>
        <c:crossAx val="510000"/>
        <c:crosses val="autoZero"/>
        <c:crossBetween val="between"/>
      </c:valAx>
    </c:plotArea>
    <c:legend>
      <c:legendPos val="b"/>
      <c:overlay val="0"/>
      <c:txPr>
        <a:bodyPr/>
        <a:lstStyle/>
        <a:p>
          <a:pPr>
            <a:defRPr sz="1000" b="0">
              <a:solidFill>
                <a:srgbClr val="000000"/>
              </a:solidFill>
              <a:latin typeface="Times New Roman"/>
              <a:cs typeface="Times New Roman"/>
            </a:defRPr>
          </a:pPr>
          <a:endParaRPr lang="en-US"/>
        </a:p>
      </c:txPr>
    </c:legend>
    <c:plotVisOnly val="1"/>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300" b="1">
                <a:solidFill>
                  <a:srgbClr val="000000"/>
                </a:solidFill>
                <a:latin typeface="Times New Roman"/>
                <a:cs typeface="Times New Roman"/>
              </a:defRPr>
            </a:pPr>
            <a:r>
              <a:rPr lang="en-IN" sz="1300" b="1">
                <a:solidFill>
                  <a:srgbClr val="000000"/>
                </a:solidFill>
                <a:latin typeface="Times New Roman"/>
                <a:cs typeface="Times New Roman"/>
              </a:rPr>
              <a:t>Debt-to-Equity incl. Lease Liabilities: Companies vs Industry Average</a:t>
            </a:r>
          </a:p>
        </c:rich>
      </c:tx>
      <c:overlay val="0"/>
    </c:title>
    <c:autoTitleDeleted val="0"/>
    <c:plotArea>
      <c:layout/>
      <c:barChart>
        <c:barDir val="col"/>
        <c:grouping val="clustered"/>
        <c:varyColors val="0"/>
        <c:ser>
          <c:idx val="0"/>
          <c:order val="0"/>
          <c:tx>
            <c:strRef>
              <c:f>'Industry Summary'!$A$46</c:f>
              <c:strCache>
                <c:ptCount val="1"/>
                <c:pt idx="0">
                  <c:v>FY2024-25</c:v>
                </c:pt>
              </c:strCache>
            </c:strRef>
          </c:tx>
          <c:spPr>
            <a:solidFill>
              <a:srgbClr val="4472C4"/>
            </a:solidFill>
          </c:spPr>
          <c:invertIfNegative val="0"/>
          <c:dLbls>
            <c:numFmt formatCode="0.000&quot;x&quot;"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Summary'!$B$47,'Industry Summary'!$D$47,'Industry Summary'!$F$47,'Industry Summary'!$H$47,'Industry Summary'!$J$47,'Industry Summary'!$L$47)</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Summary'!$B$55,'Industry Summary'!$D$55,'Industry Summary'!$F$55,'Industry Summary'!$H$55,'Industry Summary'!$J$55,'Industry Summary'!$L$55)</c:f>
              <c:numCache>
                <c:formatCode>0.00\x</c:formatCode>
                <c:ptCount val="6"/>
                <c:pt idx="0">
                  <c:v>8.6689807887964571E-2</c:v>
                </c:pt>
                <c:pt idx="1">
                  <c:v>6.3150697343163642E-2</c:v>
                </c:pt>
                <c:pt idx="2">
                  <c:v>1.8795199114622092E-2</c:v>
                </c:pt>
                <c:pt idx="3">
                  <c:v>4.673741250846692E-2</c:v>
                </c:pt>
                <c:pt idx="4">
                  <c:v>2.689189677407194E-2</c:v>
                </c:pt>
                <c:pt idx="5">
                  <c:v>4.8453002725657834E-2</c:v>
                </c:pt>
              </c:numCache>
            </c:numRef>
          </c:val>
          <c:extLst>
            <c:ext xmlns:c16="http://schemas.microsoft.com/office/drawing/2014/chart" uri="{C3380CC4-5D6E-409C-BE32-E72D297353CC}">
              <c16:uniqueId val="{00000000-653C-4438-BECA-A30F541A91A4}"/>
            </c:ext>
          </c:extLst>
        </c:ser>
        <c:ser>
          <c:idx val="1"/>
          <c:order val="1"/>
          <c:tx>
            <c:strRef>
              <c:f>'Industry Summary'!$A$58</c:f>
              <c:strCache>
                <c:ptCount val="1"/>
                <c:pt idx="0">
                  <c:v>FY2025-26</c:v>
                </c:pt>
              </c:strCache>
            </c:strRef>
          </c:tx>
          <c:spPr>
            <a:solidFill>
              <a:srgbClr val="ED7D31"/>
            </a:solidFill>
          </c:spPr>
          <c:invertIfNegative val="0"/>
          <c:dLbls>
            <c:numFmt formatCode="0.000&quot;x&quot;"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Summary'!$B$59,'Industry Summary'!$D$59,'Industry Summary'!$F$59,'Industry Summary'!$H$59,'Industry Summary'!$J$59,'Industry Summary'!$L$59)</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Summary'!$B$67,'Industry Summary'!$D$67,'Industry Summary'!$F$67,'Industry Summary'!$H$67,'Industry Summary'!$J$67,'Industry Summary'!$L$67)</c:f>
              <c:numCache>
                <c:formatCode>0.00\x</c:formatCode>
                <c:ptCount val="6"/>
                <c:pt idx="0">
                  <c:v>7.2323385202352236E-2</c:v>
                </c:pt>
                <c:pt idx="1">
                  <c:v>0.11399336719668783</c:v>
                </c:pt>
                <c:pt idx="2">
                  <c:v>1.5545312301771896E-2</c:v>
                </c:pt>
                <c:pt idx="3">
                  <c:v>3.3038175591011611E-2</c:v>
                </c:pt>
                <c:pt idx="4">
                  <c:v>3.2438390207548941E-2</c:v>
                </c:pt>
                <c:pt idx="5">
                  <c:v>5.3467726099874505E-2</c:v>
                </c:pt>
              </c:numCache>
            </c:numRef>
          </c:val>
          <c:extLst>
            <c:ext xmlns:c16="http://schemas.microsoft.com/office/drawing/2014/chart" uri="{C3380CC4-5D6E-409C-BE32-E72D297353CC}">
              <c16:uniqueId val="{00000001-653C-4438-BECA-A30F541A91A4}"/>
            </c:ext>
          </c:extLst>
        </c:ser>
        <c:dLbls>
          <c:showLegendKey val="0"/>
          <c:showVal val="0"/>
          <c:showCatName val="0"/>
          <c:showSerName val="0"/>
          <c:showPercent val="0"/>
          <c:showBubbleSize val="0"/>
        </c:dLbls>
        <c:gapWidth val="80"/>
        <c:axId val="510002"/>
        <c:axId val="510003"/>
      </c:barChart>
      <c:catAx>
        <c:axId val="510002"/>
        <c:scaling>
          <c:orientation val="minMax"/>
        </c:scaling>
        <c:delete val="0"/>
        <c:axPos val="b"/>
        <c:title>
          <c:tx>
            <c:rich>
              <a:bodyPr/>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Company</a:t>
                </a:r>
              </a:p>
            </c:rich>
          </c:tx>
          <c:overlay val="0"/>
        </c:title>
        <c:numFmt formatCode="General" sourceLinked="0"/>
        <c:majorTickMark val="out"/>
        <c:minorTickMark val="none"/>
        <c:tickLblPos val="low"/>
        <c:txPr>
          <a:bodyPr/>
          <a:lstStyle/>
          <a:p>
            <a:pPr>
              <a:defRPr sz="800" b="0">
                <a:solidFill>
                  <a:srgbClr val="000000"/>
                </a:solidFill>
                <a:latin typeface="Times New Roman"/>
                <a:cs typeface="Times New Roman"/>
              </a:defRPr>
            </a:pPr>
            <a:endParaRPr lang="en-US"/>
          </a:p>
        </c:txPr>
        <c:crossAx val="510003"/>
        <c:crosses val="autoZero"/>
        <c:auto val="1"/>
        <c:lblAlgn val="ctr"/>
        <c:lblOffset val="100"/>
        <c:noMultiLvlLbl val="0"/>
      </c:catAx>
      <c:valAx>
        <c:axId val="510003"/>
        <c:scaling>
          <c:orientation val="minMax"/>
        </c:scaling>
        <c:delete val="0"/>
        <c:axPos val="l"/>
        <c:majorGridlines>
          <c:spPr>
            <a:ln w="6350">
              <a:solidFill>
                <a:srgbClr val="D9D9D9"/>
              </a:solidFill>
            </a:ln>
          </c:spPr>
        </c:majorGridlines>
        <c:title>
          <c:tx>
            <c:rich>
              <a:bodyPr rot="-5400000" vert="horz"/>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Debt-to-equity (times)</a:t>
                </a:r>
              </a:p>
            </c:rich>
          </c:tx>
          <c:overlay val="0"/>
        </c:title>
        <c:numFmt formatCode="0.000&quot;x&quot;" sourceLinked="0"/>
        <c:majorTickMark val="out"/>
        <c:minorTickMark val="none"/>
        <c:tickLblPos val="nextTo"/>
        <c:txPr>
          <a:bodyPr/>
          <a:lstStyle/>
          <a:p>
            <a:pPr>
              <a:defRPr sz="900" b="0">
                <a:solidFill>
                  <a:srgbClr val="000000"/>
                </a:solidFill>
                <a:latin typeface="Times New Roman"/>
                <a:cs typeface="Times New Roman"/>
              </a:defRPr>
            </a:pPr>
            <a:endParaRPr lang="en-US"/>
          </a:p>
        </c:txPr>
        <c:crossAx val="510002"/>
        <c:crosses val="autoZero"/>
        <c:crossBetween val="between"/>
      </c:valAx>
    </c:plotArea>
    <c:legend>
      <c:legendPos val="b"/>
      <c:overlay val="0"/>
      <c:txPr>
        <a:bodyPr/>
        <a:lstStyle/>
        <a:p>
          <a:pPr>
            <a:defRPr sz="1000" b="0">
              <a:solidFill>
                <a:srgbClr val="000000"/>
              </a:solidFill>
              <a:latin typeface="Times New Roman"/>
              <a:cs typeface="Times New Roman"/>
            </a:defRPr>
          </a:pPr>
          <a:endParaRPr lang="en-US"/>
        </a:p>
      </c:txPr>
    </c:legend>
    <c:plotVisOnly val="1"/>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300" b="1">
                <a:solidFill>
                  <a:srgbClr val="000000"/>
                </a:solidFill>
                <a:latin typeface="Times New Roman"/>
                <a:cs typeface="Times New Roman"/>
              </a:defRPr>
            </a:pPr>
            <a:r>
              <a:rPr lang="en-IN" sz="1300" b="1">
                <a:solidFill>
                  <a:srgbClr val="000000"/>
                </a:solidFill>
                <a:latin typeface="Times New Roman"/>
                <a:cs typeface="Times New Roman"/>
              </a:rPr>
              <a:t>Operating Profit Margin: Companies vs Industry Average</a:t>
            </a:r>
          </a:p>
        </c:rich>
      </c:tx>
      <c:overlay val="0"/>
    </c:title>
    <c:autoTitleDeleted val="0"/>
    <c:plotArea>
      <c:layout/>
      <c:barChart>
        <c:barDir val="col"/>
        <c:grouping val="clustered"/>
        <c:varyColors val="0"/>
        <c:ser>
          <c:idx val="0"/>
          <c:order val="0"/>
          <c:tx>
            <c:strRef>
              <c:f>'Industry Summary'!$A$46</c:f>
              <c:strCache>
                <c:ptCount val="1"/>
                <c:pt idx="0">
                  <c:v>FY2024-25</c:v>
                </c:pt>
              </c:strCache>
            </c:strRef>
          </c:tx>
          <c:spPr>
            <a:solidFill>
              <a:srgbClr val="4472C4"/>
            </a:solidFill>
          </c:spPr>
          <c:invertIfNegative val="0"/>
          <c:dLbls>
            <c:numFmt formatCode="0.0%"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Summary'!$B$74,'Industry Summary'!$D$74,'Industry Summary'!$F$74,'Industry Summary'!$H$74,'Industry Summary'!$J$74,'Industry Summary'!$L$74)</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Summary'!$B$76,'Industry Summary'!$D$76,'Industry Summary'!$F$76,'Industry Summary'!$H$76,'Industry Summary'!$J$76,'Industry Summary'!$L$76)</c:f>
              <c:numCache>
                <c:formatCode>0.00%</c:formatCode>
                <c:ptCount val="6"/>
                <c:pt idx="0">
                  <c:v>0.13338191129703159</c:v>
                </c:pt>
                <c:pt idx="1">
                  <c:v>0.15736084581247367</c:v>
                </c:pt>
                <c:pt idx="2">
                  <c:v>0.13915705572389386</c:v>
                </c:pt>
                <c:pt idx="3">
                  <c:v>0.13489929605005868</c:v>
                </c:pt>
                <c:pt idx="4">
                  <c:v>0.10410566768622499</c:v>
                </c:pt>
                <c:pt idx="5">
                  <c:v>0.13378095531393658</c:v>
                </c:pt>
              </c:numCache>
            </c:numRef>
          </c:val>
          <c:extLst>
            <c:ext xmlns:c16="http://schemas.microsoft.com/office/drawing/2014/chart" uri="{C3380CC4-5D6E-409C-BE32-E72D297353CC}">
              <c16:uniqueId val="{00000000-3397-4D57-831D-669441903555}"/>
            </c:ext>
          </c:extLst>
        </c:ser>
        <c:ser>
          <c:idx val="1"/>
          <c:order val="1"/>
          <c:tx>
            <c:strRef>
              <c:f>'Industry Summary'!$A$58</c:f>
              <c:strCache>
                <c:ptCount val="1"/>
                <c:pt idx="0">
                  <c:v>FY2025-26</c:v>
                </c:pt>
              </c:strCache>
            </c:strRef>
          </c:tx>
          <c:spPr>
            <a:solidFill>
              <a:srgbClr val="ED7D31"/>
            </a:solidFill>
          </c:spPr>
          <c:invertIfNegative val="0"/>
          <c:dLbls>
            <c:numFmt formatCode="0.0%"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Summary'!$B$79,'Industry Summary'!$D$79,'Industry Summary'!$F$79,'Industry Summary'!$H$79,'Industry Summary'!$J$79,'Industry Summary'!$L$79)</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Summary'!$B$81,'Industry Summary'!$D$81,'Industry Summary'!$F$81,'Industry Summary'!$H$81,'Industry Summary'!$J$81,'Industry Summary'!$L$81)</c:f>
              <c:numCache>
                <c:formatCode>0.00%</c:formatCode>
                <c:ptCount val="6"/>
                <c:pt idx="0">
                  <c:v>0.12868782449304714</c:v>
                </c:pt>
                <c:pt idx="1">
                  <c:v>0.16558030879949873</c:v>
                </c:pt>
                <c:pt idx="2">
                  <c:v>0.14382161008029348</c:v>
                </c:pt>
                <c:pt idx="3">
                  <c:v>0.12008224049788838</c:v>
                </c:pt>
                <c:pt idx="4">
                  <c:v>9.8828953267960734E-2</c:v>
                </c:pt>
                <c:pt idx="5">
                  <c:v>0.13140018742773768</c:v>
                </c:pt>
              </c:numCache>
            </c:numRef>
          </c:val>
          <c:extLst>
            <c:ext xmlns:c16="http://schemas.microsoft.com/office/drawing/2014/chart" uri="{C3380CC4-5D6E-409C-BE32-E72D297353CC}">
              <c16:uniqueId val="{00000001-3397-4D57-831D-669441903555}"/>
            </c:ext>
          </c:extLst>
        </c:ser>
        <c:dLbls>
          <c:showLegendKey val="0"/>
          <c:showVal val="0"/>
          <c:showCatName val="0"/>
          <c:showSerName val="0"/>
          <c:showPercent val="0"/>
          <c:showBubbleSize val="0"/>
        </c:dLbls>
        <c:gapWidth val="80"/>
        <c:axId val="510004"/>
        <c:axId val="510005"/>
      </c:barChart>
      <c:catAx>
        <c:axId val="510004"/>
        <c:scaling>
          <c:orientation val="minMax"/>
        </c:scaling>
        <c:delete val="0"/>
        <c:axPos val="b"/>
        <c:title>
          <c:tx>
            <c:rich>
              <a:bodyPr/>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Company</a:t>
                </a:r>
              </a:p>
            </c:rich>
          </c:tx>
          <c:overlay val="0"/>
        </c:title>
        <c:numFmt formatCode="General" sourceLinked="0"/>
        <c:majorTickMark val="out"/>
        <c:minorTickMark val="none"/>
        <c:tickLblPos val="low"/>
        <c:txPr>
          <a:bodyPr/>
          <a:lstStyle/>
          <a:p>
            <a:pPr>
              <a:defRPr sz="800" b="0">
                <a:solidFill>
                  <a:srgbClr val="000000"/>
                </a:solidFill>
                <a:latin typeface="Times New Roman"/>
                <a:cs typeface="Times New Roman"/>
              </a:defRPr>
            </a:pPr>
            <a:endParaRPr lang="en-US"/>
          </a:p>
        </c:txPr>
        <c:crossAx val="510005"/>
        <c:crosses val="autoZero"/>
        <c:auto val="1"/>
        <c:lblAlgn val="ctr"/>
        <c:lblOffset val="100"/>
        <c:noMultiLvlLbl val="0"/>
      </c:catAx>
      <c:valAx>
        <c:axId val="510005"/>
        <c:scaling>
          <c:orientation val="minMax"/>
        </c:scaling>
        <c:delete val="0"/>
        <c:axPos val="l"/>
        <c:majorGridlines>
          <c:spPr>
            <a:ln w="6350">
              <a:solidFill>
                <a:srgbClr val="D9D9D9"/>
              </a:solidFill>
            </a:ln>
          </c:spPr>
        </c:majorGridlines>
        <c:title>
          <c:tx>
            <c:rich>
              <a:bodyPr rot="-5400000" vert="horz"/>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Operating profit margin (%)</a:t>
                </a:r>
              </a:p>
            </c:rich>
          </c:tx>
          <c:overlay val="0"/>
        </c:title>
        <c:numFmt formatCode="0.0%" sourceLinked="0"/>
        <c:majorTickMark val="out"/>
        <c:minorTickMark val="none"/>
        <c:tickLblPos val="nextTo"/>
        <c:txPr>
          <a:bodyPr/>
          <a:lstStyle/>
          <a:p>
            <a:pPr>
              <a:defRPr sz="900" b="0">
                <a:solidFill>
                  <a:srgbClr val="000000"/>
                </a:solidFill>
                <a:latin typeface="Times New Roman"/>
                <a:cs typeface="Times New Roman"/>
              </a:defRPr>
            </a:pPr>
            <a:endParaRPr lang="en-US"/>
          </a:p>
        </c:txPr>
        <c:crossAx val="510004"/>
        <c:crosses val="autoZero"/>
        <c:crossBetween val="between"/>
      </c:valAx>
    </c:plotArea>
    <c:legend>
      <c:legendPos val="b"/>
      <c:overlay val="0"/>
      <c:txPr>
        <a:bodyPr/>
        <a:lstStyle/>
        <a:p>
          <a:pPr>
            <a:defRPr sz="1000" b="0">
              <a:solidFill>
                <a:srgbClr val="000000"/>
              </a:solidFill>
              <a:latin typeface="Times New Roman"/>
              <a:cs typeface="Times New Roman"/>
            </a:defRPr>
          </a:pPr>
          <a:endParaRPr lang="en-US"/>
        </a:p>
      </c:txPr>
    </c:legend>
    <c:plotVisOnly val="1"/>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300" b="1">
                <a:solidFill>
                  <a:srgbClr val="000000"/>
                </a:solidFill>
                <a:latin typeface="Times New Roman"/>
                <a:cs typeface="Times New Roman"/>
              </a:defRPr>
            </a:pPr>
            <a:r>
              <a:rPr lang="en-IN" sz="1300" b="1">
                <a:solidFill>
                  <a:srgbClr val="000000"/>
                </a:solidFill>
                <a:latin typeface="Times New Roman"/>
                <a:cs typeface="Times New Roman"/>
              </a:rPr>
              <a:t>Return on Equity (ROE): Companies vs Industry Average</a:t>
            </a:r>
          </a:p>
        </c:rich>
      </c:tx>
      <c:overlay val="0"/>
    </c:title>
    <c:autoTitleDeleted val="0"/>
    <c:plotArea>
      <c:layout/>
      <c:barChart>
        <c:barDir val="col"/>
        <c:grouping val="clustered"/>
        <c:varyColors val="0"/>
        <c:ser>
          <c:idx val="0"/>
          <c:order val="0"/>
          <c:tx>
            <c:strRef>
              <c:f>'Industry Summary'!$A$46</c:f>
              <c:strCache>
                <c:ptCount val="1"/>
                <c:pt idx="0">
                  <c:v>FY2024-25</c:v>
                </c:pt>
              </c:strCache>
            </c:strRef>
          </c:tx>
          <c:spPr>
            <a:solidFill>
              <a:srgbClr val="4472C4"/>
            </a:solidFill>
          </c:spPr>
          <c:invertIfNegative val="0"/>
          <c:dLbls>
            <c:numFmt formatCode="0.0%"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Summary'!$B$47,'Industry Summary'!$D$47,'Industry Summary'!$F$47,'Industry Summary'!$H$47,'Industry Summary'!$J$47,'Industry Summary'!$L$47)</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Summary'!$B$53,'Industry Summary'!$D$53,'Industry Summary'!$F$53,'Industry Summary'!$H$53,'Industry Summary'!$J$53,'Industry Summary'!$L$53)</c:f>
              <c:numCache>
                <c:formatCode>0.00%</c:formatCode>
                <c:ptCount val="6"/>
                <c:pt idx="0">
                  <c:v>0.20166006943469678</c:v>
                </c:pt>
                <c:pt idx="1">
                  <c:v>0.19236244551560497</c:v>
                </c:pt>
                <c:pt idx="2">
                  <c:v>0.14663739487879543</c:v>
                </c:pt>
                <c:pt idx="3">
                  <c:v>0.32251025245494563</c:v>
                </c:pt>
                <c:pt idx="4">
                  <c:v>0.16993265026810936</c:v>
                </c:pt>
                <c:pt idx="5">
                  <c:v>0.20662056251043043</c:v>
                </c:pt>
              </c:numCache>
            </c:numRef>
          </c:val>
          <c:extLst>
            <c:ext xmlns:c16="http://schemas.microsoft.com/office/drawing/2014/chart" uri="{C3380CC4-5D6E-409C-BE32-E72D297353CC}">
              <c16:uniqueId val="{00000000-796C-4968-9413-A4F71B54A522}"/>
            </c:ext>
          </c:extLst>
        </c:ser>
        <c:ser>
          <c:idx val="1"/>
          <c:order val="1"/>
          <c:tx>
            <c:strRef>
              <c:f>'Industry Summary'!$A$58</c:f>
              <c:strCache>
                <c:ptCount val="1"/>
                <c:pt idx="0">
                  <c:v>FY2025-26</c:v>
                </c:pt>
              </c:strCache>
            </c:strRef>
          </c:tx>
          <c:spPr>
            <a:solidFill>
              <a:srgbClr val="ED7D31"/>
            </a:solidFill>
          </c:spPr>
          <c:invertIfNegative val="0"/>
          <c:dLbls>
            <c:numFmt formatCode="0.0%"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Summary'!$B$59,'Industry Summary'!$D$59,'Industry Summary'!$F$59,'Industry Summary'!$H$59,'Industry Summary'!$J$59,'Industry Summary'!$L$59)</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Summary'!$B$65,'Industry Summary'!$D$65,'Industry Summary'!$F$65,'Industry Summary'!$H$65,'Industry Summary'!$J$65,'Industry Summary'!$L$65)</c:f>
              <c:numCache>
                <c:formatCode>0.00%</c:formatCode>
                <c:ptCount val="6"/>
                <c:pt idx="0">
                  <c:v>0.18224611525653781</c:v>
                </c:pt>
                <c:pt idx="1">
                  <c:v>0.21346237800842147</c:v>
                </c:pt>
                <c:pt idx="2">
                  <c:v>0.13036597339598024</c:v>
                </c:pt>
                <c:pt idx="3">
                  <c:v>1.030218378146069</c:v>
                </c:pt>
                <c:pt idx="4">
                  <c:v>9.4908896034297974E-2</c:v>
                </c:pt>
                <c:pt idx="5">
                  <c:v>0.33024034816826131</c:v>
                </c:pt>
              </c:numCache>
            </c:numRef>
          </c:val>
          <c:extLst>
            <c:ext xmlns:c16="http://schemas.microsoft.com/office/drawing/2014/chart" uri="{C3380CC4-5D6E-409C-BE32-E72D297353CC}">
              <c16:uniqueId val="{00000001-796C-4968-9413-A4F71B54A522}"/>
            </c:ext>
          </c:extLst>
        </c:ser>
        <c:dLbls>
          <c:showLegendKey val="0"/>
          <c:showVal val="0"/>
          <c:showCatName val="0"/>
          <c:showSerName val="0"/>
          <c:showPercent val="0"/>
          <c:showBubbleSize val="0"/>
        </c:dLbls>
        <c:gapWidth val="80"/>
        <c:axId val="510006"/>
        <c:axId val="510007"/>
      </c:barChart>
      <c:catAx>
        <c:axId val="510006"/>
        <c:scaling>
          <c:orientation val="minMax"/>
        </c:scaling>
        <c:delete val="0"/>
        <c:axPos val="b"/>
        <c:title>
          <c:tx>
            <c:rich>
              <a:bodyPr/>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Company</a:t>
                </a:r>
              </a:p>
            </c:rich>
          </c:tx>
          <c:overlay val="0"/>
        </c:title>
        <c:numFmt formatCode="General" sourceLinked="0"/>
        <c:majorTickMark val="out"/>
        <c:minorTickMark val="none"/>
        <c:tickLblPos val="low"/>
        <c:txPr>
          <a:bodyPr/>
          <a:lstStyle/>
          <a:p>
            <a:pPr>
              <a:defRPr sz="800" b="0">
                <a:solidFill>
                  <a:srgbClr val="000000"/>
                </a:solidFill>
                <a:latin typeface="Times New Roman"/>
                <a:cs typeface="Times New Roman"/>
              </a:defRPr>
            </a:pPr>
            <a:endParaRPr lang="en-US"/>
          </a:p>
        </c:txPr>
        <c:crossAx val="510007"/>
        <c:crosses val="autoZero"/>
        <c:auto val="1"/>
        <c:lblAlgn val="ctr"/>
        <c:lblOffset val="100"/>
        <c:noMultiLvlLbl val="0"/>
      </c:catAx>
      <c:valAx>
        <c:axId val="510007"/>
        <c:scaling>
          <c:orientation val="minMax"/>
        </c:scaling>
        <c:delete val="0"/>
        <c:axPos val="l"/>
        <c:majorGridlines>
          <c:spPr>
            <a:ln w="6350">
              <a:solidFill>
                <a:srgbClr val="D9D9D9"/>
              </a:solidFill>
            </a:ln>
          </c:spPr>
        </c:majorGridlines>
        <c:title>
          <c:tx>
            <c:rich>
              <a:bodyPr rot="-5400000" vert="horz"/>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Return on equity (%)</a:t>
                </a:r>
              </a:p>
            </c:rich>
          </c:tx>
          <c:overlay val="0"/>
        </c:title>
        <c:numFmt formatCode="0.0%" sourceLinked="0"/>
        <c:majorTickMark val="out"/>
        <c:minorTickMark val="none"/>
        <c:tickLblPos val="nextTo"/>
        <c:txPr>
          <a:bodyPr/>
          <a:lstStyle/>
          <a:p>
            <a:pPr>
              <a:defRPr sz="900" b="0">
                <a:solidFill>
                  <a:srgbClr val="000000"/>
                </a:solidFill>
                <a:latin typeface="Times New Roman"/>
                <a:cs typeface="Times New Roman"/>
              </a:defRPr>
            </a:pPr>
            <a:endParaRPr lang="en-US"/>
          </a:p>
        </c:txPr>
        <c:crossAx val="510006"/>
        <c:crosses val="autoZero"/>
        <c:crossBetween val="between"/>
      </c:valAx>
    </c:plotArea>
    <c:legend>
      <c:legendPos val="b"/>
      <c:overlay val="0"/>
      <c:txPr>
        <a:bodyPr/>
        <a:lstStyle/>
        <a:p>
          <a:pPr>
            <a:defRPr sz="1000" b="0">
              <a:solidFill>
                <a:srgbClr val="000000"/>
              </a:solidFill>
              <a:latin typeface="Times New Roman"/>
              <a:cs typeface="Times New Roman"/>
            </a:defRPr>
          </a:pPr>
          <a:endParaRPr lang="en-US"/>
        </a:p>
      </c:txPr>
    </c:legend>
    <c:plotVisOnly val="1"/>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300" b="1">
                <a:solidFill>
                  <a:srgbClr val="000000"/>
                </a:solidFill>
                <a:latin typeface="Times New Roman"/>
                <a:cs typeface="Times New Roman"/>
              </a:defRPr>
            </a:pPr>
            <a:r>
              <a:rPr lang="en-IN" sz="1300" b="1">
                <a:solidFill>
                  <a:srgbClr val="000000"/>
                </a:solidFill>
                <a:latin typeface="Times New Roman"/>
                <a:cs typeface="Times New Roman"/>
              </a:rPr>
              <a:t>Materials-Consumption Turnover: Companies vs Industry Average</a:t>
            </a:r>
          </a:p>
        </c:rich>
      </c:tx>
      <c:overlay val="0"/>
    </c:title>
    <c:autoTitleDeleted val="0"/>
    <c:plotArea>
      <c:layout/>
      <c:barChart>
        <c:barDir val="col"/>
        <c:grouping val="clustered"/>
        <c:varyColors val="0"/>
        <c:ser>
          <c:idx val="0"/>
          <c:order val="0"/>
          <c:tx>
            <c:strRef>
              <c:f>'Industry Summary'!$A$46</c:f>
              <c:strCache>
                <c:ptCount val="1"/>
                <c:pt idx="0">
                  <c:v>FY2024-25</c:v>
                </c:pt>
              </c:strCache>
            </c:strRef>
          </c:tx>
          <c:spPr>
            <a:solidFill>
              <a:srgbClr val="4472C4"/>
            </a:solidFill>
          </c:spPr>
          <c:invertIfNegative val="0"/>
          <c:dLbls>
            <c:numFmt formatCode="0.00&quot;x&quot;"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Summary'!$B$47,'Industry Summary'!$D$47,'Industry Summary'!$F$47,'Industry Summary'!$H$47,'Industry Summary'!$J$47,'Industry Summary'!$L$47)</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Summary'!$B$56,'Industry Summary'!$D$56,'Industry Summary'!$F$56,'Industry Summary'!$H$56,'Industry Summary'!$J$56,'Industry Summary'!$L$56)</c:f>
              <c:numCache>
                <c:formatCode>0.00\x</c:formatCode>
                <c:ptCount val="6"/>
                <c:pt idx="0">
                  <c:v>2.4859217752831855</c:v>
                </c:pt>
                <c:pt idx="1">
                  <c:v>2.4061316888135211</c:v>
                </c:pt>
                <c:pt idx="2">
                  <c:v>4.1140392604572984</c:v>
                </c:pt>
                <c:pt idx="3">
                  <c:v>3.5561585265581317</c:v>
                </c:pt>
                <c:pt idx="4">
                  <c:v>2.7019266837169651</c:v>
                </c:pt>
                <c:pt idx="5">
                  <c:v>3.0528355869658208</c:v>
                </c:pt>
              </c:numCache>
            </c:numRef>
          </c:val>
          <c:extLst>
            <c:ext xmlns:c16="http://schemas.microsoft.com/office/drawing/2014/chart" uri="{C3380CC4-5D6E-409C-BE32-E72D297353CC}">
              <c16:uniqueId val="{00000000-58E5-4A8F-95B6-11E7CD3ADECE}"/>
            </c:ext>
          </c:extLst>
        </c:ser>
        <c:ser>
          <c:idx val="1"/>
          <c:order val="1"/>
          <c:tx>
            <c:strRef>
              <c:f>'Industry Summary'!$A$58</c:f>
              <c:strCache>
                <c:ptCount val="1"/>
                <c:pt idx="0">
                  <c:v>FY2025-26</c:v>
                </c:pt>
              </c:strCache>
            </c:strRef>
          </c:tx>
          <c:spPr>
            <a:solidFill>
              <a:srgbClr val="ED7D31"/>
            </a:solidFill>
          </c:spPr>
          <c:invertIfNegative val="0"/>
          <c:dLbls>
            <c:numFmt formatCode="0.00&quot;x&quot;"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Summary'!$B$59,'Industry Summary'!$D$59,'Industry Summary'!$F$59,'Industry Summary'!$H$59,'Industry Summary'!$J$59,'Industry Summary'!$L$59)</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Summary'!$B$68,'Industry Summary'!$D$68,'Industry Summary'!$F$68,'Industry Summary'!$H$68,'Industry Summary'!$J$68,'Industry Summary'!$L$68)</c:f>
              <c:numCache>
                <c:formatCode>0.00\x</c:formatCode>
                <c:ptCount val="6"/>
                <c:pt idx="0">
                  <c:v>2.3567528541130818</c:v>
                </c:pt>
                <c:pt idx="1">
                  <c:v>2.3743700207158835</c:v>
                </c:pt>
                <c:pt idx="2">
                  <c:v>4.1104903786468032</c:v>
                </c:pt>
                <c:pt idx="3">
                  <c:v>3.1777513182514028</c:v>
                </c:pt>
                <c:pt idx="4">
                  <c:v>2.8248292577587399</c:v>
                </c:pt>
                <c:pt idx="5">
                  <c:v>2.9688387658971824</c:v>
                </c:pt>
              </c:numCache>
            </c:numRef>
          </c:val>
          <c:extLst>
            <c:ext xmlns:c16="http://schemas.microsoft.com/office/drawing/2014/chart" uri="{C3380CC4-5D6E-409C-BE32-E72D297353CC}">
              <c16:uniqueId val="{00000001-58E5-4A8F-95B6-11E7CD3ADECE}"/>
            </c:ext>
          </c:extLst>
        </c:ser>
        <c:dLbls>
          <c:showLegendKey val="0"/>
          <c:showVal val="0"/>
          <c:showCatName val="0"/>
          <c:showSerName val="0"/>
          <c:showPercent val="0"/>
          <c:showBubbleSize val="0"/>
        </c:dLbls>
        <c:gapWidth val="80"/>
        <c:axId val="510008"/>
        <c:axId val="510009"/>
      </c:barChart>
      <c:catAx>
        <c:axId val="510008"/>
        <c:scaling>
          <c:orientation val="minMax"/>
        </c:scaling>
        <c:delete val="0"/>
        <c:axPos val="b"/>
        <c:title>
          <c:tx>
            <c:rich>
              <a:bodyPr/>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Company</a:t>
                </a:r>
              </a:p>
            </c:rich>
          </c:tx>
          <c:overlay val="0"/>
        </c:title>
        <c:numFmt formatCode="General" sourceLinked="0"/>
        <c:majorTickMark val="out"/>
        <c:minorTickMark val="none"/>
        <c:tickLblPos val="low"/>
        <c:txPr>
          <a:bodyPr/>
          <a:lstStyle/>
          <a:p>
            <a:pPr>
              <a:defRPr sz="800" b="0">
                <a:solidFill>
                  <a:srgbClr val="000000"/>
                </a:solidFill>
                <a:latin typeface="Times New Roman"/>
                <a:cs typeface="Times New Roman"/>
              </a:defRPr>
            </a:pPr>
            <a:endParaRPr lang="en-US"/>
          </a:p>
        </c:txPr>
        <c:crossAx val="510009"/>
        <c:crosses val="autoZero"/>
        <c:auto val="1"/>
        <c:lblAlgn val="ctr"/>
        <c:lblOffset val="100"/>
        <c:noMultiLvlLbl val="0"/>
      </c:catAx>
      <c:valAx>
        <c:axId val="510009"/>
        <c:scaling>
          <c:orientation val="minMax"/>
        </c:scaling>
        <c:delete val="0"/>
        <c:axPos val="l"/>
        <c:majorGridlines>
          <c:spPr>
            <a:ln w="6350">
              <a:solidFill>
                <a:srgbClr val="D9D9D9"/>
              </a:solidFill>
            </a:ln>
          </c:spPr>
        </c:majorGridlines>
        <c:title>
          <c:tx>
            <c:rich>
              <a:bodyPr rot="-5400000" vert="horz"/>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Turnover (times)</a:t>
                </a:r>
              </a:p>
            </c:rich>
          </c:tx>
          <c:overlay val="0"/>
        </c:title>
        <c:numFmt formatCode="0.00&quot;x&quot;" sourceLinked="0"/>
        <c:majorTickMark val="out"/>
        <c:minorTickMark val="none"/>
        <c:tickLblPos val="nextTo"/>
        <c:txPr>
          <a:bodyPr/>
          <a:lstStyle/>
          <a:p>
            <a:pPr>
              <a:defRPr sz="900" b="0">
                <a:solidFill>
                  <a:srgbClr val="000000"/>
                </a:solidFill>
                <a:latin typeface="Times New Roman"/>
                <a:cs typeface="Times New Roman"/>
              </a:defRPr>
            </a:pPr>
            <a:endParaRPr lang="en-US"/>
          </a:p>
        </c:txPr>
        <c:crossAx val="510008"/>
        <c:crosses val="autoZero"/>
        <c:crossBetween val="between"/>
      </c:valAx>
    </c:plotArea>
    <c:legend>
      <c:legendPos val="b"/>
      <c:overlay val="0"/>
      <c:txPr>
        <a:bodyPr/>
        <a:lstStyle/>
        <a:p>
          <a:pPr>
            <a:defRPr sz="1000" b="0">
              <a:solidFill>
                <a:srgbClr val="000000"/>
              </a:solidFill>
              <a:latin typeface="Times New Roman"/>
              <a:cs typeface="Times New Roman"/>
            </a:defRPr>
          </a:pPr>
          <a:endParaRPr lang="en-US"/>
        </a:p>
      </c:txPr>
    </c:legend>
    <c:plotVisOnly val="1"/>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300" b="1">
                <a:solidFill>
                  <a:srgbClr val="000000"/>
                </a:solidFill>
                <a:latin typeface="Times New Roman"/>
                <a:cs typeface="Times New Roman"/>
              </a:defRPr>
            </a:pPr>
            <a:r>
              <a:rPr lang="en-IN" sz="1300" b="1">
                <a:solidFill>
                  <a:srgbClr val="000000"/>
                </a:solidFill>
                <a:latin typeface="Times New Roman"/>
                <a:cs typeface="Times New Roman"/>
              </a:rPr>
              <a:t>Revenue Growth: Companies vs Industry Average</a:t>
            </a:r>
          </a:p>
        </c:rich>
      </c:tx>
      <c:overlay val="0"/>
    </c:title>
    <c:autoTitleDeleted val="0"/>
    <c:plotArea>
      <c:layout/>
      <c:barChart>
        <c:barDir val="col"/>
        <c:grouping val="clustered"/>
        <c:varyColors val="0"/>
        <c:ser>
          <c:idx val="0"/>
          <c:order val="0"/>
          <c:tx>
            <c:strRef>
              <c:f>'Industry Summary'!$A$46</c:f>
              <c:strCache>
                <c:ptCount val="1"/>
                <c:pt idx="0">
                  <c:v>FY2024-25</c:v>
                </c:pt>
              </c:strCache>
            </c:strRef>
          </c:tx>
          <c:spPr>
            <a:solidFill>
              <a:srgbClr val="4472C4"/>
            </a:solidFill>
          </c:spPr>
          <c:invertIfNegative val="0"/>
          <c:dLbls>
            <c:numFmt formatCode="0.0%"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Summary'!$B$74,'Industry Summary'!$D$74,'Industry Summary'!$F$74,'Industry Summary'!$H$74,'Industry Summary'!$J$74,'Industry Summary'!$L$74)</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Summary'!$B$75,'Industry Summary'!$D$75,'Industry Summary'!$F$75,'Industry Summary'!$H$75,'Industry Summary'!$J$75,'Industry Summary'!$L$75)</c:f>
              <c:numCache>
                <c:formatCode>0.00%</c:formatCode>
                <c:ptCount val="6"/>
                <c:pt idx="0">
                  <c:v>1.6624129130164766E-2</c:v>
                </c:pt>
                <c:pt idx="1">
                  <c:v>-5.3618057205659916E-2</c:v>
                </c:pt>
                <c:pt idx="2">
                  <c:v>1.7794813764085361E-2</c:v>
                </c:pt>
                <c:pt idx="3">
                  <c:v>3.2714054927302075E-2</c:v>
                </c:pt>
                <c:pt idx="4">
                  <c:v>1.3986988219063187E-2</c:v>
                </c:pt>
                <c:pt idx="5">
                  <c:v>5.5003857669910948E-3</c:v>
                </c:pt>
              </c:numCache>
            </c:numRef>
          </c:val>
          <c:extLst>
            <c:ext xmlns:c16="http://schemas.microsoft.com/office/drawing/2014/chart" uri="{C3380CC4-5D6E-409C-BE32-E72D297353CC}">
              <c16:uniqueId val="{00000000-B93B-489C-A5B5-CF9B922DE265}"/>
            </c:ext>
          </c:extLst>
        </c:ser>
        <c:ser>
          <c:idx val="1"/>
          <c:order val="1"/>
          <c:tx>
            <c:strRef>
              <c:f>'Industry Summary'!$A$58</c:f>
              <c:strCache>
                <c:ptCount val="1"/>
                <c:pt idx="0">
                  <c:v>FY2025-26</c:v>
                </c:pt>
              </c:strCache>
            </c:strRef>
          </c:tx>
          <c:spPr>
            <a:solidFill>
              <a:srgbClr val="ED7D31"/>
            </a:solidFill>
          </c:spPr>
          <c:invertIfNegative val="0"/>
          <c:dLbls>
            <c:numFmt formatCode="0.0%" sourceLinked="0"/>
            <c:spPr>
              <a:noFill/>
              <a:ln>
                <a:noFill/>
              </a:ln>
            </c:spPr>
            <c:txPr>
              <a:bodyPr/>
              <a:lstStyle/>
              <a:p>
                <a:pPr>
                  <a:defRPr sz="800" b="0">
                    <a:solidFill>
                      <a:srgbClr val="000000"/>
                    </a:solidFill>
                    <a:latin typeface="Times New Roman"/>
                    <a:cs typeface="Times New Roman"/>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('Industry Summary'!$B$79,'Industry Summary'!$D$79,'Industry Summary'!$F$79,'Industry Summary'!$H$79,'Industry Summary'!$J$79,'Industry Summary'!$L$79)</c:f>
              <c:strCache>
                <c:ptCount val="6"/>
                <c:pt idx="0">
                  <c:v>Berger Paints</c:v>
                </c:pt>
                <c:pt idx="1">
                  <c:v>Asian Paints</c:v>
                </c:pt>
                <c:pt idx="2">
                  <c:v>Indigo Paints</c:v>
                </c:pt>
                <c:pt idx="3">
                  <c:v>JSW Dulux (fmrly Akzo Nobel India)</c:v>
                </c:pt>
                <c:pt idx="4">
                  <c:v>Kansai Nerolac</c:v>
                </c:pt>
                <c:pt idx="5">
                  <c:v>Industry Avg (5 companies)</c:v>
                </c:pt>
              </c:strCache>
            </c:strRef>
          </c:cat>
          <c:val>
            <c:numRef>
              <c:f>('Industry Summary'!$B$80,'Industry Summary'!$D$80,'Industry Summary'!$F$80,'Industry Summary'!$H$80,'Industry Summary'!$J$80,'Industry Summary'!$L$80)</c:f>
              <c:numCache>
                <c:formatCode>0.00%</c:formatCode>
                <c:ptCount val="6"/>
                <c:pt idx="0">
                  <c:v>2.4670525369694139E-2</c:v>
                </c:pt>
                <c:pt idx="1">
                  <c:v>4.1174987691459074E-2</c:v>
                </c:pt>
                <c:pt idx="2">
                  <c:v>4.1442541830111285E-2</c:v>
                </c:pt>
                <c:pt idx="3">
                  <c:v>-0.12025811497849043</c:v>
                </c:pt>
                <c:pt idx="4">
                  <c:v>3.2350190950430194E-2</c:v>
                </c:pt>
                <c:pt idx="5">
                  <c:v>3.8760261726408533E-3</c:v>
                </c:pt>
              </c:numCache>
            </c:numRef>
          </c:val>
          <c:extLst>
            <c:ext xmlns:c16="http://schemas.microsoft.com/office/drawing/2014/chart" uri="{C3380CC4-5D6E-409C-BE32-E72D297353CC}">
              <c16:uniqueId val="{00000001-B93B-489C-A5B5-CF9B922DE265}"/>
            </c:ext>
          </c:extLst>
        </c:ser>
        <c:dLbls>
          <c:showLegendKey val="0"/>
          <c:showVal val="0"/>
          <c:showCatName val="0"/>
          <c:showSerName val="0"/>
          <c:showPercent val="0"/>
          <c:showBubbleSize val="0"/>
        </c:dLbls>
        <c:gapWidth val="80"/>
        <c:axId val="510010"/>
        <c:axId val="510011"/>
      </c:barChart>
      <c:catAx>
        <c:axId val="510010"/>
        <c:scaling>
          <c:orientation val="minMax"/>
        </c:scaling>
        <c:delete val="0"/>
        <c:axPos val="b"/>
        <c:title>
          <c:tx>
            <c:rich>
              <a:bodyPr/>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Company</a:t>
                </a:r>
              </a:p>
            </c:rich>
          </c:tx>
          <c:overlay val="0"/>
        </c:title>
        <c:numFmt formatCode="General" sourceLinked="0"/>
        <c:majorTickMark val="out"/>
        <c:minorTickMark val="none"/>
        <c:tickLblPos val="low"/>
        <c:txPr>
          <a:bodyPr/>
          <a:lstStyle/>
          <a:p>
            <a:pPr>
              <a:defRPr sz="800" b="0">
                <a:solidFill>
                  <a:srgbClr val="000000"/>
                </a:solidFill>
                <a:latin typeface="Times New Roman"/>
                <a:cs typeface="Times New Roman"/>
              </a:defRPr>
            </a:pPr>
            <a:endParaRPr lang="en-US"/>
          </a:p>
        </c:txPr>
        <c:crossAx val="510011"/>
        <c:crosses val="autoZero"/>
        <c:auto val="1"/>
        <c:lblAlgn val="ctr"/>
        <c:lblOffset val="100"/>
        <c:noMultiLvlLbl val="0"/>
      </c:catAx>
      <c:valAx>
        <c:axId val="510011"/>
        <c:scaling>
          <c:orientation val="minMax"/>
        </c:scaling>
        <c:delete val="0"/>
        <c:axPos val="l"/>
        <c:majorGridlines>
          <c:spPr>
            <a:ln w="6350">
              <a:solidFill>
                <a:srgbClr val="D9D9D9"/>
              </a:solidFill>
            </a:ln>
          </c:spPr>
        </c:majorGridlines>
        <c:title>
          <c:tx>
            <c:rich>
              <a:bodyPr rot="-5400000" vert="horz"/>
              <a:lstStyle/>
              <a:p>
                <a:pPr>
                  <a:defRPr sz="1000" b="1">
                    <a:solidFill>
                      <a:srgbClr val="000000"/>
                    </a:solidFill>
                    <a:latin typeface="Times New Roman"/>
                    <a:cs typeface="Times New Roman"/>
                  </a:defRPr>
                </a:pPr>
                <a:r>
                  <a:rPr lang="en-IN" sz="1000" b="1">
                    <a:solidFill>
                      <a:srgbClr val="000000"/>
                    </a:solidFill>
                    <a:latin typeface="Times New Roman"/>
                    <a:cs typeface="Times New Roman"/>
                  </a:rPr>
                  <a:t>Revenue growth (%)</a:t>
                </a:r>
              </a:p>
            </c:rich>
          </c:tx>
          <c:overlay val="0"/>
        </c:title>
        <c:numFmt formatCode="0.0%" sourceLinked="0"/>
        <c:majorTickMark val="out"/>
        <c:minorTickMark val="none"/>
        <c:tickLblPos val="nextTo"/>
        <c:txPr>
          <a:bodyPr/>
          <a:lstStyle/>
          <a:p>
            <a:pPr>
              <a:defRPr sz="900" b="0">
                <a:solidFill>
                  <a:srgbClr val="000000"/>
                </a:solidFill>
                <a:latin typeface="Times New Roman"/>
                <a:cs typeface="Times New Roman"/>
              </a:defRPr>
            </a:pPr>
            <a:endParaRPr lang="en-US"/>
          </a:p>
        </c:txPr>
        <c:crossAx val="510010"/>
        <c:crosses val="autoZero"/>
        <c:crossBetween val="between"/>
      </c:valAx>
    </c:plotArea>
    <c:legend>
      <c:legendPos val="b"/>
      <c:overlay val="0"/>
      <c:txPr>
        <a:bodyPr/>
        <a:lstStyle/>
        <a:p>
          <a:pPr>
            <a:defRPr sz="1000" b="0">
              <a:solidFill>
                <a:srgbClr val="000000"/>
              </a:solidFill>
              <a:latin typeface="Times New Roman"/>
              <a:cs typeface="Times New Roman"/>
            </a:defRPr>
          </a:pPr>
          <a:endParaRPr lang="en-US"/>
        </a:p>
      </c:txPr>
    </c:legend>
    <c:plotVisOnly val="1"/>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229326</xdr:colOff>
      <xdr:row>123</xdr:row>
      <xdr:rowOff>22665</xdr:rowOff>
    </xdr:from>
    <xdr:to>
      <xdr:col>4</xdr:col>
      <xdr:colOff>778099</xdr:colOff>
      <xdr:row>144</xdr:row>
      <xdr:rowOff>35775</xdr:rowOff>
    </xdr:to>
    <xdr:graphicFrame macro="">
      <xdr:nvGraphicFramePr>
        <xdr:cNvPr id="4" name="Chart 3">
          <a:extLst>
            <a:ext uri="{FF2B5EF4-FFF2-40B4-BE49-F238E27FC236}">
              <a16:creationId xmlns:a16="http://schemas.microsoft.com/office/drawing/2014/main" id="{14FA25E5-E0B2-9062-8E93-9F35F7740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93015</xdr:colOff>
      <xdr:row>151</xdr:row>
      <xdr:rowOff>148822</xdr:rowOff>
    </xdr:from>
    <xdr:to>
      <xdr:col>5</xdr:col>
      <xdr:colOff>313028</xdr:colOff>
      <xdr:row>171</xdr:row>
      <xdr:rowOff>134155</xdr:rowOff>
    </xdr:to>
    <xdr:graphicFrame macro="">
      <xdr:nvGraphicFramePr>
        <xdr:cNvPr id="6" name="Chart 5">
          <a:extLst>
            <a:ext uri="{FF2B5EF4-FFF2-40B4-BE49-F238E27FC236}">
              <a16:creationId xmlns:a16="http://schemas.microsoft.com/office/drawing/2014/main" id="{D3715FF4-204C-CDC4-BAB5-11C80F82D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93383</xdr:colOff>
      <xdr:row>122</xdr:row>
      <xdr:rowOff>122519</xdr:rowOff>
    </xdr:from>
    <xdr:to>
      <xdr:col>5</xdr:col>
      <xdr:colOff>89647</xdr:colOff>
      <xdr:row>141</xdr:row>
      <xdr:rowOff>112059</xdr:rowOff>
    </xdr:to>
    <xdr:graphicFrame macro="">
      <xdr:nvGraphicFramePr>
        <xdr:cNvPr id="4" name="Chart 3">
          <a:extLst>
            <a:ext uri="{FF2B5EF4-FFF2-40B4-BE49-F238E27FC236}">
              <a16:creationId xmlns:a16="http://schemas.microsoft.com/office/drawing/2014/main" id="{A805D3DA-C16C-C297-A125-BD3D3173A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138206</xdr:colOff>
      <xdr:row>147</xdr:row>
      <xdr:rowOff>17929</xdr:rowOff>
    </xdr:from>
    <xdr:to>
      <xdr:col>4</xdr:col>
      <xdr:colOff>918882</xdr:colOff>
      <xdr:row>165</xdr:row>
      <xdr:rowOff>156882</xdr:rowOff>
    </xdr:to>
    <xdr:graphicFrame macro="">
      <xdr:nvGraphicFramePr>
        <xdr:cNvPr id="5" name="Chart 4">
          <a:extLst>
            <a:ext uri="{FF2B5EF4-FFF2-40B4-BE49-F238E27FC236}">
              <a16:creationId xmlns:a16="http://schemas.microsoft.com/office/drawing/2014/main" id="{C6D3AACE-4C49-6B19-6119-6E4581B67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123266</xdr:colOff>
      <xdr:row>122</xdr:row>
      <xdr:rowOff>122517</xdr:rowOff>
    </xdr:from>
    <xdr:to>
      <xdr:col>4</xdr:col>
      <xdr:colOff>926352</xdr:colOff>
      <xdr:row>140</xdr:row>
      <xdr:rowOff>119528</xdr:rowOff>
    </xdr:to>
    <xdr:graphicFrame macro="">
      <xdr:nvGraphicFramePr>
        <xdr:cNvPr id="4" name="Chart 3">
          <a:extLst>
            <a:ext uri="{FF2B5EF4-FFF2-40B4-BE49-F238E27FC236}">
              <a16:creationId xmlns:a16="http://schemas.microsoft.com/office/drawing/2014/main" id="{93C36363-F9AB-1E84-FB25-C21FD119D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205442</xdr:colOff>
      <xdr:row>147</xdr:row>
      <xdr:rowOff>10457</xdr:rowOff>
    </xdr:from>
    <xdr:to>
      <xdr:col>5</xdr:col>
      <xdr:colOff>82176</xdr:colOff>
      <xdr:row>165</xdr:row>
      <xdr:rowOff>52293</xdr:rowOff>
    </xdr:to>
    <xdr:graphicFrame macro="">
      <xdr:nvGraphicFramePr>
        <xdr:cNvPr id="5" name="Chart 4">
          <a:extLst>
            <a:ext uri="{FF2B5EF4-FFF2-40B4-BE49-F238E27FC236}">
              <a16:creationId xmlns:a16="http://schemas.microsoft.com/office/drawing/2014/main" id="{62F86687-C719-B646-93B0-BD6A2D4AE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70970</xdr:colOff>
      <xdr:row>122</xdr:row>
      <xdr:rowOff>100106</xdr:rowOff>
    </xdr:from>
    <xdr:to>
      <xdr:col>5</xdr:col>
      <xdr:colOff>7469</xdr:colOff>
      <xdr:row>141</xdr:row>
      <xdr:rowOff>52294</xdr:rowOff>
    </xdr:to>
    <xdr:graphicFrame macro="">
      <xdr:nvGraphicFramePr>
        <xdr:cNvPr id="4" name="Chart 3">
          <a:extLst>
            <a:ext uri="{FF2B5EF4-FFF2-40B4-BE49-F238E27FC236}">
              <a16:creationId xmlns:a16="http://schemas.microsoft.com/office/drawing/2014/main" id="{56E0807B-CB7B-AEA8-FE36-8D3DF07D0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138205</xdr:colOff>
      <xdr:row>146</xdr:row>
      <xdr:rowOff>107576</xdr:rowOff>
    </xdr:from>
    <xdr:to>
      <xdr:col>5</xdr:col>
      <xdr:colOff>22410</xdr:colOff>
      <xdr:row>165</xdr:row>
      <xdr:rowOff>112058</xdr:rowOff>
    </xdr:to>
    <xdr:graphicFrame macro="">
      <xdr:nvGraphicFramePr>
        <xdr:cNvPr id="5" name="Chart 4">
          <a:extLst>
            <a:ext uri="{FF2B5EF4-FFF2-40B4-BE49-F238E27FC236}">
              <a16:creationId xmlns:a16="http://schemas.microsoft.com/office/drawing/2014/main" id="{68E1ABC4-C952-38B6-6040-A907761F0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100853</xdr:colOff>
      <xdr:row>122</xdr:row>
      <xdr:rowOff>85164</xdr:rowOff>
    </xdr:from>
    <xdr:to>
      <xdr:col>4</xdr:col>
      <xdr:colOff>881529</xdr:colOff>
      <xdr:row>141</xdr:row>
      <xdr:rowOff>82175</xdr:rowOff>
    </xdr:to>
    <xdr:graphicFrame macro="">
      <xdr:nvGraphicFramePr>
        <xdr:cNvPr id="4" name="Chart 3">
          <a:extLst>
            <a:ext uri="{FF2B5EF4-FFF2-40B4-BE49-F238E27FC236}">
              <a16:creationId xmlns:a16="http://schemas.microsoft.com/office/drawing/2014/main" id="{73CA897C-A819-03BE-DBE2-F74CFC2F4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141941</xdr:colOff>
      <xdr:row>146</xdr:row>
      <xdr:rowOff>112059</xdr:rowOff>
    </xdr:from>
    <xdr:to>
      <xdr:col>4</xdr:col>
      <xdr:colOff>799353</xdr:colOff>
      <xdr:row>165</xdr:row>
      <xdr:rowOff>59764</xdr:rowOff>
    </xdr:to>
    <xdr:graphicFrame macro="">
      <xdr:nvGraphicFramePr>
        <xdr:cNvPr id="5" name="Chart 4">
          <a:extLst>
            <a:ext uri="{FF2B5EF4-FFF2-40B4-BE49-F238E27FC236}">
              <a16:creationId xmlns:a16="http://schemas.microsoft.com/office/drawing/2014/main" id="{060EE5C8-2592-112F-3214-1141230F5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144</xdr:row>
      <xdr:rowOff>0</xdr:rowOff>
    </xdr:from>
    <xdr:to>
      <xdr:col>7</xdr:col>
      <xdr:colOff>0</xdr:colOff>
      <xdr:row>161</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144</xdr:row>
      <xdr:rowOff>0</xdr:rowOff>
    </xdr:from>
    <xdr:to>
      <xdr:col>20</xdr:col>
      <xdr:colOff>0</xdr:colOff>
      <xdr:row>161</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165</xdr:row>
      <xdr:rowOff>0</xdr:rowOff>
    </xdr:from>
    <xdr:to>
      <xdr:col>7</xdr:col>
      <xdr:colOff>0</xdr:colOff>
      <xdr:row>182</xdr:row>
      <xdr:rowOff>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165</xdr:row>
      <xdr:rowOff>0</xdr:rowOff>
    </xdr:from>
    <xdr:to>
      <xdr:col>20</xdr:col>
      <xdr:colOff>0</xdr:colOff>
      <xdr:row>182</xdr:row>
      <xdr:rowOff>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186</xdr:row>
      <xdr:rowOff>0</xdr:rowOff>
    </xdr:from>
    <xdr:to>
      <xdr:col>7</xdr:col>
      <xdr:colOff>0</xdr:colOff>
      <xdr:row>203</xdr:row>
      <xdr:rowOff>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186</xdr:row>
      <xdr:rowOff>0</xdr:rowOff>
    </xdr:from>
    <xdr:to>
      <xdr:col>20</xdr:col>
      <xdr:colOff>0</xdr:colOff>
      <xdr:row>203</xdr:row>
      <xdr:rowOff>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Times New Roman" panose="020F0302020204030204"/>
        <a:ea typeface=""/>
        <a:cs typeface=""/>
      </a:majorFont>
      <a:minorFont>
        <a:latin typeface="Times New Roman"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5"/>
  <sheetViews>
    <sheetView topLeftCell="A5" workbookViewId="0">
      <selection activeCell="B8" sqref="B8:F8"/>
    </sheetView>
  </sheetViews>
  <sheetFormatPr defaultColWidth="8.7109375" defaultRowHeight="14.1"/>
  <cols>
    <col min="1" max="1" width="4" style="1" customWidth="1"/>
    <col min="2" max="3" width="24" style="1" customWidth="1"/>
    <col min="4" max="4" width="4" style="1" customWidth="1"/>
    <col min="5" max="6" width="24" style="1" customWidth="1"/>
    <col min="7" max="8" width="4" style="1" customWidth="1"/>
    <col min="9" max="9" width="8.7109375" style="1" customWidth="1"/>
    <col min="10" max="16384" width="8.7109375" style="1"/>
  </cols>
  <sheetData>
    <row r="2" spans="2:6" ht="33.950000000000003" customHeight="1">
      <c r="B2" s="62" t="s">
        <v>0</v>
      </c>
      <c r="C2" s="81"/>
      <c r="D2" s="81"/>
      <c r="E2" s="81"/>
      <c r="F2" s="81"/>
    </row>
    <row r="4" spans="2:6" ht="33.950000000000003" customHeight="1">
      <c r="B4" s="62" t="s">
        <v>1</v>
      </c>
      <c r="C4" s="81"/>
      <c r="D4" s="81"/>
      <c r="E4" s="81"/>
      <c r="F4" s="81"/>
    </row>
    <row r="6" spans="2:6" ht="27.95" customHeight="1">
      <c r="B6" s="67" t="s">
        <v>2</v>
      </c>
      <c r="C6" s="81"/>
      <c r="D6" s="81"/>
      <c r="E6" s="81"/>
      <c r="F6" s="81"/>
    </row>
    <row r="8" spans="2:6" ht="39.950000000000003" customHeight="1">
      <c r="B8" s="65" t="s">
        <v>3</v>
      </c>
      <c r="C8" s="81"/>
      <c r="D8" s="81"/>
      <c r="E8" s="81"/>
      <c r="F8" s="81"/>
    </row>
    <row r="9" spans="2:6" ht="33.950000000000003" customHeight="1">
      <c r="B9" s="66" t="s">
        <v>4</v>
      </c>
      <c r="C9" s="81"/>
      <c r="D9" s="81"/>
      <c r="E9" s="81"/>
      <c r="F9" s="81"/>
    </row>
    <row r="12" spans="2:6" ht="20.100000000000001" customHeight="1">
      <c r="B12" s="68" t="s">
        <v>5</v>
      </c>
      <c r="C12" s="82"/>
      <c r="D12" s="83"/>
      <c r="E12" s="68" t="s">
        <v>6</v>
      </c>
      <c r="F12" s="83"/>
    </row>
    <row r="13" spans="2:6" ht="20.100000000000001" customHeight="1">
      <c r="B13" s="63" t="s">
        <v>7</v>
      </c>
      <c r="C13" s="82"/>
      <c r="D13" s="83"/>
      <c r="E13" s="63" t="s">
        <v>8</v>
      </c>
      <c r="F13" s="83"/>
    </row>
    <row r="14" spans="2:6" ht="20.100000000000001" customHeight="1">
      <c r="B14" s="63" t="s">
        <v>9</v>
      </c>
      <c r="C14" s="82"/>
      <c r="D14" s="83"/>
      <c r="E14" s="63" t="s">
        <v>10</v>
      </c>
      <c r="F14" s="83"/>
    </row>
    <row r="15" spans="2:6" ht="20.100000000000001" customHeight="1">
      <c r="B15" s="63" t="s">
        <v>11</v>
      </c>
      <c r="C15" s="82"/>
      <c r="D15" s="83"/>
      <c r="E15" s="63" t="s">
        <v>12</v>
      </c>
      <c r="F15" s="83"/>
    </row>
    <row r="16" spans="2:6" ht="20.100000000000001" customHeight="1">
      <c r="B16" s="63" t="s">
        <v>13</v>
      </c>
      <c r="C16" s="82"/>
      <c r="D16" s="83"/>
      <c r="E16" s="63" t="s">
        <v>14</v>
      </c>
      <c r="F16" s="83"/>
    </row>
    <row r="17" spans="2:6" ht="20.100000000000001" customHeight="1">
      <c r="B17" s="63" t="s">
        <v>15</v>
      </c>
      <c r="C17" s="82"/>
      <c r="D17" s="83"/>
      <c r="E17" s="63" t="s">
        <v>16</v>
      </c>
      <c r="F17" s="83"/>
    </row>
    <row r="20" spans="2:6" ht="21.95" customHeight="1">
      <c r="B20" s="64" t="s">
        <v>17</v>
      </c>
      <c r="C20" s="81"/>
      <c r="D20" s="81"/>
      <c r="E20" s="81"/>
      <c r="F20" s="81"/>
    </row>
    <row r="21" spans="2:6" ht="21.95" customHeight="1">
      <c r="B21" s="64" t="s">
        <v>18</v>
      </c>
      <c r="C21" s="81"/>
      <c r="D21" s="81"/>
      <c r="E21" s="81"/>
      <c r="F21" s="81"/>
    </row>
    <row r="23" spans="2:6" ht="21.95" customHeight="1">
      <c r="B23" s="64" t="s">
        <v>19</v>
      </c>
      <c r="C23" s="81"/>
      <c r="D23" s="81"/>
      <c r="E23" s="81"/>
      <c r="F23" s="81"/>
    </row>
    <row r="24" spans="2:6" ht="21.95" customHeight="1">
      <c r="B24" s="64" t="s">
        <v>20</v>
      </c>
      <c r="C24" s="81"/>
      <c r="D24" s="81"/>
      <c r="E24" s="81"/>
      <c r="F24" s="81"/>
    </row>
    <row r="25" spans="2:6" ht="20.100000000000001" customHeight="1">
      <c r="B25" s="69" t="s">
        <v>21</v>
      </c>
      <c r="C25" s="81"/>
      <c r="D25" s="81"/>
      <c r="E25" s="81"/>
      <c r="F25" s="81"/>
    </row>
  </sheetData>
  <mergeCells count="22">
    <mergeCell ref="B25:F25"/>
    <mergeCell ref="B17:D17"/>
    <mergeCell ref="B13:D13"/>
    <mergeCell ref="E14:F14"/>
    <mergeCell ref="E17:F17"/>
    <mergeCell ref="B21:F21"/>
    <mergeCell ref="B24:F24"/>
    <mergeCell ref="B2:F2"/>
    <mergeCell ref="E13:F13"/>
    <mergeCell ref="B23:F23"/>
    <mergeCell ref="B8:F8"/>
    <mergeCell ref="B15:D15"/>
    <mergeCell ref="E15:F15"/>
    <mergeCell ref="B9:F9"/>
    <mergeCell ref="B16:D16"/>
    <mergeCell ref="B6:F6"/>
    <mergeCell ref="E16:F16"/>
    <mergeCell ref="B20:F20"/>
    <mergeCell ref="B12:D12"/>
    <mergeCell ref="B4:F4"/>
    <mergeCell ref="E12:F12"/>
    <mergeCell ref="B14:D14"/>
  </mergeCells>
  <printOptions horizontalCentered="1" gridLines="1"/>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351"/>
  <sheetViews>
    <sheetView topLeftCell="A309" zoomScale="71" zoomScaleNormal="85" workbookViewId="0">
      <selection activeCell="A206" sqref="A206:L229"/>
    </sheetView>
  </sheetViews>
  <sheetFormatPr defaultColWidth="8.7109375" defaultRowHeight="14.1"/>
  <cols>
    <col min="1" max="1" width="46" style="1" customWidth="1"/>
    <col min="2" max="2" width="15" style="1" customWidth="1"/>
    <col min="3" max="11" width="13.42578125" style="1" customWidth="1"/>
    <col min="12" max="12" width="10" style="1" customWidth="1"/>
    <col min="13" max="18" width="8.7109375" style="1" customWidth="1"/>
    <col min="19" max="16384" width="8.7109375" style="1"/>
  </cols>
  <sheetData>
    <row r="1" spans="1:12" ht="34.15" customHeight="1">
      <c r="A1" s="54" t="s">
        <v>22</v>
      </c>
      <c r="B1" s="81"/>
      <c r="C1" s="81"/>
      <c r="D1" s="81"/>
      <c r="E1" s="81"/>
      <c r="F1" s="81"/>
      <c r="G1" s="81"/>
      <c r="H1" s="81"/>
      <c r="I1" s="81"/>
      <c r="J1" s="81"/>
      <c r="K1" s="81"/>
      <c r="L1" s="81"/>
    </row>
    <row r="2" spans="1:12" ht="21.95" customHeight="1">
      <c r="A2" s="58" t="s">
        <v>23</v>
      </c>
      <c r="B2" s="81"/>
      <c r="C2" s="81"/>
      <c r="D2" s="81"/>
      <c r="E2" s="81"/>
      <c r="F2" s="81"/>
      <c r="G2" s="81"/>
      <c r="H2" s="81"/>
      <c r="I2" s="81"/>
      <c r="J2" s="81"/>
      <c r="K2" s="81"/>
      <c r="L2" s="81"/>
    </row>
    <row r="3" spans="1:12" ht="8.1" customHeight="1"/>
    <row r="4" spans="1:12" ht="26.85" customHeight="1">
      <c r="A4" s="59" t="s">
        <v>24</v>
      </c>
      <c r="B4" s="81"/>
      <c r="C4" s="81"/>
      <c r="D4" s="81"/>
      <c r="E4" s="81"/>
      <c r="F4" s="81"/>
      <c r="G4" s="81"/>
      <c r="H4" s="81"/>
      <c r="I4" s="81"/>
      <c r="J4" s="81"/>
      <c r="K4" s="81"/>
      <c r="L4" s="81"/>
    </row>
    <row r="5" spans="1:12" ht="9" customHeight="1"/>
    <row r="6" spans="1:12" ht="26.85" customHeight="1">
      <c r="A6" s="56" t="s">
        <v>25</v>
      </c>
      <c r="B6" s="81"/>
      <c r="C6" s="81"/>
      <c r="D6" s="81"/>
      <c r="E6" s="81"/>
      <c r="F6" s="81"/>
      <c r="G6" s="81"/>
      <c r="H6" s="81"/>
      <c r="I6" s="81"/>
      <c r="J6" s="81"/>
      <c r="K6" s="81"/>
      <c r="L6" s="81"/>
    </row>
    <row r="7" spans="1:12" ht="21.95" customHeight="1">
      <c r="A7" s="2" t="s">
        <v>26</v>
      </c>
      <c r="C7" s="57" t="s">
        <v>27</v>
      </c>
      <c r="D7" s="84"/>
    </row>
    <row r="8" spans="1:12" ht="15.75" customHeight="1">
      <c r="C8" s="4" t="s">
        <v>28</v>
      </c>
      <c r="D8" s="4" t="s">
        <v>29</v>
      </c>
    </row>
    <row r="9" spans="1:12" ht="15.75" customHeight="1">
      <c r="A9" s="13" t="s">
        <v>30</v>
      </c>
      <c r="C9" s="7">
        <v>2206.6</v>
      </c>
      <c r="D9" s="7">
        <v>2225.6</v>
      </c>
    </row>
    <row r="10" spans="1:12" ht="15.75" customHeight="1">
      <c r="A10" s="13" t="s">
        <v>31</v>
      </c>
      <c r="C10" s="7">
        <v>1124.3699999999999</v>
      </c>
      <c r="D10" s="7">
        <v>1129.27</v>
      </c>
    </row>
    <row r="11" spans="1:12" ht="15.75" customHeight="1">
      <c r="A11" s="13" t="s">
        <v>32</v>
      </c>
      <c r="C11" s="7">
        <v>141.38999999999999</v>
      </c>
      <c r="D11" s="7">
        <v>151.94</v>
      </c>
    </row>
    <row r="12" spans="1:12" ht="15.75" customHeight="1">
      <c r="A12" s="13" t="s">
        <v>33</v>
      </c>
      <c r="C12" s="7">
        <v>224.46</v>
      </c>
      <c r="D12" s="7">
        <v>55.01</v>
      </c>
    </row>
    <row r="13" spans="1:12" ht="29.25" customHeight="1">
      <c r="A13" s="13" t="s">
        <v>34</v>
      </c>
      <c r="C13" s="7">
        <v>436.98</v>
      </c>
      <c r="D13" s="7">
        <v>1118.69</v>
      </c>
    </row>
    <row r="14" spans="1:12" ht="15.75" customHeight="1">
      <c r="A14" s="8" t="s">
        <v>35</v>
      </c>
      <c r="C14" s="9">
        <v>4133.8</v>
      </c>
      <c r="D14" s="9">
        <v>4680.51</v>
      </c>
    </row>
    <row r="15" spans="1:12" ht="15.75" customHeight="1">
      <c r="A15" s="13" t="s">
        <v>36</v>
      </c>
      <c r="C15" s="7">
        <v>1569.34</v>
      </c>
      <c r="D15" s="7">
        <v>1522.26</v>
      </c>
    </row>
    <row r="16" spans="1:12" ht="15.75" customHeight="1">
      <c r="A16" s="13" t="s">
        <v>37</v>
      </c>
      <c r="C16" s="7">
        <v>0.39</v>
      </c>
      <c r="D16" s="7">
        <v>0</v>
      </c>
    </row>
    <row r="17" spans="1:12" ht="29.25" customHeight="1">
      <c r="A17" s="13" t="s">
        <v>38</v>
      </c>
      <c r="C17" s="7">
        <v>416.03</v>
      </c>
      <c r="D17" s="7">
        <v>619.85</v>
      </c>
    </row>
    <row r="18" spans="1:12" ht="15.75" customHeight="1">
      <c r="A18" s="8" t="s">
        <v>39</v>
      </c>
      <c r="C18" s="9">
        <v>1985.76</v>
      </c>
      <c r="D18" s="9">
        <v>2142.11</v>
      </c>
    </row>
    <row r="19" spans="1:12" ht="29.25" customHeight="1">
      <c r="A19" s="13" t="s">
        <v>40</v>
      </c>
      <c r="C19" s="7">
        <v>0.39</v>
      </c>
      <c r="D19" s="7">
        <v>0</v>
      </c>
    </row>
    <row r="20" spans="1:12" ht="15.75" customHeight="1">
      <c r="A20" s="13" t="s">
        <v>41</v>
      </c>
      <c r="C20" s="7">
        <v>5681.06</v>
      </c>
      <c r="D20" s="7">
        <v>6342.9</v>
      </c>
    </row>
    <row r="21" spans="1:12" ht="15.75" customHeight="1">
      <c r="A21" s="8" t="s">
        <v>42</v>
      </c>
      <c r="C21" s="9">
        <v>8176.51</v>
      </c>
      <c r="D21" s="9">
        <v>8946.2000000000007</v>
      </c>
    </row>
    <row r="22" spans="1:12" ht="15.75" customHeight="1">
      <c r="A22" s="13" t="s">
        <v>43</v>
      </c>
      <c r="C22" s="7">
        <v>10169.219999999999</v>
      </c>
      <c r="D22" s="7">
        <v>10420.1</v>
      </c>
    </row>
    <row r="23" spans="1:12" ht="15.75" customHeight="1">
      <c r="A23" s="13" t="s">
        <v>44</v>
      </c>
      <c r="C23" s="7">
        <v>5252.79</v>
      </c>
      <c r="D23" s="7">
        <v>5222.8</v>
      </c>
    </row>
    <row r="24" spans="1:12" ht="15.75" customHeight="1">
      <c r="A24" s="13" t="s">
        <v>45</v>
      </c>
      <c r="C24" s="7">
        <v>1430.74</v>
      </c>
      <c r="D24" s="7">
        <v>1438.22</v>
      </c>
    </row>
    <row r="25" spans="1:12" ht="15.75" customHeight="1">
      <c r="A25" s="13" t="s">
        <v>46</v>
      </c>
      <c r="C25" s="7">
        <v>353.24</v>
      </c>
      <c r="D25" s="7">
        <v>342.56</v>
      </c>
    </row>
    <row r="26" spans="1:12" ht="15.75" customHeight="1">
      <c r="A26" s="8" t="s">
        <v>47</v>
      </c>
      <c r="C26" s="9">
        <v>1077.5</v>
      </c>
      <c r="D26" s="9">
        <v>1095.6600000000001</v>
      </c>
    </row>
    <row r="27" spans="1:12" ht="29.25" customHeight="1">
      <c r="A27" s="13" t="s">
        <v>48</v>
      </c>
      <c r="C27" s="7">
        <v>0</v>
      </c>
      <c r="D27" s="7">
        <v>-49.99</v>
      </c>
    </row>
    <row r="28" spans="1:12" ht="15.75" customHeight="1">
      <c r="A28" s="8" t="s">
        <v>49</v>
      </c>
      <c r="C28" s="9">
        <v>1430.74</v>
      </c>
      <c r="D28" s="9">
        <v>1488.21</v>
      </c>
    </row>
    <row r="29" spans="1:12" ht="29.25" customHeight="1">
      <c r="A29" s="13" t="s">
        <v>50</v>
      </c>
      <c r="C29" s="7">
        <v>492.1</v>
      </c>
      <c r="D29" s="7">
        <v>458.74</v>
      </c>
    </row>
    <row r="31" spans="1:12" ht="21.95" customHeight="1">
      <c r="A31" s="56" t="s">
        <v>51</v>
      </c>
      <c r="B31" s="81"/>
      <c r="C31" s="81"/>
      <c r="D31" s="81"/>
      <c r="E31" s="81"/>
      <c r="F31" s="81"/>
      <c r="G31" s="81"/>
      <c r="H31" s="81"/>
      <c r="I31" s="81"/>
      <c r="J31" s="81"/>
      <c r="K31" s="81"/>
      <c r="L31" s="81"/>
    </row>
    <row r="32" spans="1:12" ht="37.700000000000003" customHeight="1">
      <c r="A32" s="55" t="s">
        <v>52</v>
      </c>
      <c r="B32" s="81"/>
      <c r="C32" s="81"/>
      <c r="D32" s="81"/>
      <c r="E32" s="81"/>
      <c r="F32" s="81"/>
      <c r="G32" s="81"/>
      <c r="H32" s="81"/>
      <c r="I32" s="81"/>
      <c r="J32" s="81"/>
      <c r="K32" s="81"/>
      <c r="L32" s="81"/>
    </row>
    <row r="34" spans="1:12" ht="15.75" customHeight="1">
      <c r="A34" s="2" t="s">
        <v>53</v>
      </c>
      <c r="C34" s="4" t="s">
        <v>27</v>
      </c>
    </row>
    <row r="35" spans="1:12" ht="15.75" customHeight="1">
      <c r="A35" s="10" t="s">
        <v>30</v>
      </c>
      <c r="C35" s="7">
        <v>2019.43</v>
      </c>
    </row>
    <row r="36" spans="1:12" ht="15.75" customHeight="1">
      <c r="A36" s="10" t="s">
        <v>41</v>
      </c>
      <c r="C36" s="7">
        <v>5005.24</v>
      </c>
    </row>
    <row r="37" spans="1:12" ht="15.75" customHeight="1">
      <c r="A37" s="10" t="s">
        <v>42</v>
      </c>
      <c r="C37" s="7">
        <v>7581.66</v>
      </c>
    </row>
    <row r="38" spans="1:12" ht="9" customHeight="1"/>
    <row r="39" spans="1:12" ht="21.95" customHeight="1">
      <c r="A39" s="56" t="s">
        <v>54</v>
      </c>
      <c r="B39" s="81"/>
      <c r="C39" s="81"/>
      <c r="D39" s="81"/>
      <c r="E39" s="81"/>
      <c r="F39" s="81"/>
      <c r="G39" s="81"/>
      <c r="H39" s="81"/>
      <c r="I39" s="81"/>
      <c r="J39" s="81"/>
      <c r="K39" s="81"/>
      <c r="L39" s="81"/>
    </row>
    <row r="40" spans="1:12" ht="50.45" customHeight="1">
      <c r="A40" s="55" t="s">
        <v>55</v>
      </c>
      <c r="B40" s="81"/>
      <c r="C40" s="81"/>
      <c r="D40" s="81"/>
      <c r="E40" s="81"/>
      <c r="F40" s="81"/>
      <c r="G40" s="81"/>
      <c r="H40" s="81"/>
      <c r="I40" s="81"/>
      <c r="J40" s="81"/>
      <c r="K40" s="81"/>
      <c r="L40" s="81"/>
    </row>
    <row r="41" spans="1:12" ht="9" customHeight="1"/>
    <row r="42" spans="1:12" ht="26.85" customHeight="1">
      <c r="A42" s="56" t="s">
        <v>56</v>
      </c>
      <c r="B42" s="81"/>
      <c r="C42" s="81"/>
      <c r="D42" s="81"/>
      <c r="E42" s="81"/>
      <c r="F42" s="81"/>
      <c r="G42" s="81"/>
      <c r="H42" s="81"/>
      <c r="I42" s="81"/>
      <c r="J42" s="81"/>
      <c r="K42" s="81"/>
      <c r="L42" s="81"/>
    </row>
    <row r="43" spans="1:12" ht="15.75" customHeight="1">
      <c r="C43" s="57" t="s">
        <v>28</v>
      </c>
      <c r="D43" s="84"/>
      <c r="E43" s="57" t="s">
        <v>29</v>
      </c>
      <c r="F43" s="84"/>
    </row>
    <row r="44" spans="1:12" ht="21.95" customHeight="1">
      <c r="A44" s="5" t="s">
        <v>57</v>
      </c>
      <c r="B44" s="5" t="s">
        <v>58</v>
      </c>
      <c r="C44" s="5" t="s">
        <v>59</v>
      </c>
      <c r="D44" s="5" t="s">
        <v>60</v>
      </c>
      <c r="E44" s="5" t="s">
        <v>59</v>
      </c>
      <c r="F44" s="5" t="s">
        <v>60</v>
      </c>
    </row>
    <row r="45" spans="1:12" ht="41.1" customHeight="1">
      <c r="A45" s="2" t="s">
        <v>61</v>
      </c>
      <c r="B45" s="50" t="s">
        <v>62</v>
      </c>
      <c r="C45" s="11">
        <f>C14/C18</f>
        <v>2.0817218596406413</v>
      </c>
      <c r="D45" s="11">
        <f>'Industry Summary'!L48</f>
        <v>2.4353778229716396</v>
      </c>
      <c r="E45" s="11">
        <f>D14/D18</f>
        <v>2.1849998366096979</v>
      </c>
      <c r="F45" s="11">
        <f>'Industry Summary'!L60</f>
        <v>2.4275972449136276</v>
      </c>
    </row>
    <row r="46" spans="1:12" ht="41.1" customHeight="1">
      <c r="A46" s="2" t="s">
        <v>63</v>
      </c>
      <c r="B46" s="50" t="s">
        <v>64</v>
      </c>
      <c r="C46" s="11">
        <f>(C14-C9)/C18</f>
        <v>0.97051003142373715</v>
      </c>
      <c r="D46" s="11">
        <f>'Industry Summary'!L49</f>
        <v>1.5808142416651734</v>
      </c>
      <c r="E46" s="11">
        <f>(D14-D9)/D18</f>
        <v>1.1460242471208295</v>
      </c>
      <c r="F46" s="11">
        <f>'Industry Summary'!L61</f>
        <v>1.6811361655827657</v>
      </c>
    </row>
    <row r="47" spans="1:12" ht="48" customHeight="1">
      <c r="A47" s="2" t="s">
        <v>65</v>
      </c>
      <c r="B47" s="50" t="s">
        <v>66</v>
      </c>
      <c r="C47" s="11">
        <f>(C11+C12)/C18</f>
        <v>0.18423676577229878</v>
      </c>
      <c r="D47" s="11">
        <f>'Industry Summary'!L50</f>
        <v>0.15262563733347595</v>
      </c>
      <c r="E47" s="11">
        <f>(D11+D12)/D18</f>
        <v>9.6610351475881248E-2</v>
      </c>
      <c r="F47" s="11">
        <f>'Industry Summary'!L62</f>
        <v>0.11967228575278641</v>
      </c>
    </row>
    <row r="48" spans="1:12" ht="9" customHeight="1"/>
    <row r="49" spans="1:12" ht="26.85" customHeight="1">
      <c r="A49" s="56" t="s">
        <v>67</v>
      </c>
      <c r="B49" s="81"/>
      <c r="C49" s="81"/>
      <c r="D49" s="81"/>
      <c r="E49" s="81"/>
      <c r="F49" s="81"/>
      <c r="G49" s="81"/>
      <c r="H49" s="81"/>
      <c r="I49" s="81"/>
      <c r="J49" s="81"/>
      <c r="K49" s="81"/>
      <c r="L49" s="81"/>
    </row>
    <row r="50" spans="1:12" ht="15.75" customHeight="1">
      <c r="C50" s="57" t="s">
        <v>28</v>
      </c>
      <c r="D50" s="84"/>
      <c r="E50" s="57" t="s">
        <v>29</v>
      </c>
      <c r="F50" s="84"/>
    </row>
    <row r="51" spans="1:12" ht="21.95" customHeight="1">
      <c r="A51" s="5" t="s">
        <v>57</v>
      </c>
      <c r="B51" s="5" t="s">
        <v>58</v>
      </c>
      <c r="C51" s="5" t="s">
        <v>59</v>
      </c>
      <c r="D51" s="5" t="s">
        <v>60</v>
      </c>
      <c r="E51" s="5" t="s">
        <v>59</v>
      </c>
      <c r="F51" s="5" t="s">
        <v>60</v>
      </c>
    </row>
    <row r="52" spans="1:12" ht="41.1" customHeight="1">
      <c r="A52" s="2" t="s">
        <v>68</v>
      </c>
      <c r="B52" s="50" t="s">
        <v>69</v>
      </c>
      <c r="C52" s="11">
        <f>C19/C20</f>
        <v>6.8649160543982987E-5</v>
      </c>
      <c r="D52" s="11">
        <f>'Industry Summary'!L54</f>
        <v>4.2882759079160922E-4</v>
      </c>
      <c r="E52" s="11">
        <f>D19/D20</f>
        <v>0</v>
      </c>
      <c r="F52" s="11">
        <f>'Industry Summary'!L66</f>
        <v>1.1449284846758376E-2</v>
      </c>
    </row>
    <row r="53" spans="1:12" ht="48" customHeight="1">
      <c r="A53" s="2" t="s">
        <v>70</v>
      </c>
      <c r="B53" s="50" t="s">
        <v>71</v>
      </c>
      <c r="C53" s="11">
        <f>(C19+C29)/C20</f>
        <v>8.6689807887964571E-2</v>
      </c>
      <c r="D53" s="11">
        <f>'Industry Summary'!L55</f>
        <v>4.8453002725657834E-2</v>
      </c>
      <c r="E53" s="11">
        <f>(D19+D29)/D20</f>
        <v>7.2323385202352236E-2</v>
      </c>
      <c r="F53" s="11">
        <f>'Industry Summary'!L67</f>
        <v>5.3467726099874505E-2</v>
      </c>
    </row>
    <row r="54" spans="1:12" ht="9" customHeight="1"/>
    <row r="55" spans="1:12" ht="26.85" customHeight="1">
      <c r="A55" s="56" t="s">
        <v>72</v>
      </c>
      <c r="B55" s="81"/>
      <c r="C55" s="81"/>
      <c r="D55" s="81"/>
      <c r="E55" s="81"/>
      <c r="F55" s="81"/>
      <c r="G55" s="81"/>
      <c r="H55" s="81"/>
      <c r="I55" s="81"/>
      <c r="J55" s="81"/>
      <c r="K55" s="81"/>
      <c r="L55" s="81"/>
    </row>
    <row r="56" spans="1:12" ht="15.75" customHeight="1">
      <c r="C56" s="57" t="s">
        <v>28</v>
      </c>
      <c r="D56" s="84"/>
      <c r="E56" s="57" t="s">
        <v>29</v>
      </c>
      <c r="F56" s="84"/>
    </row>
    <row r="57" spans="1:12" ht="21.95" customHeight="1">
      <c r="A57" s="5" t="s">
        <v>57</v>
      </c>
      <c r="B57" s="5" t="s">
        <v>58</v>
      </c>
      <c r="C57" s="5" t="s">
        <v>59</v>
      </c>
      <c r="D57" s="5" t="s">
        <v>60</v>
      </c>
      <c r="E57" s="5" t="s">
        <v>59</v>
      </c>
      <c r="F57" s="5" t="s">
        <v>60</v>
      </c>
    </row>
    <row r="58" spans="1:12" ht="41.1" customHeight="1">
      <c r="A58" s="2" t="s">
        <v>73</v>
      </c>
      <c r="B58" s="50" t="s">
        <v>74</v>
      </c>
      <c r="C58" s="12">
        <f>C26/C22</f>
        <v>0.10595699571845235</v>
      </c>
      <c r="D58" s="12">
        <f>'Industry Summary'!L51</f>
        <v>0.11618978422920279</v>
      </c>
      <c r="E58" s="12">
        <f>D26/D22</f>
        <v>0.10514870298749533</v>
      </c>
      <c r="F58" s="12">
        <f>'Industry Summary'!L63</f>
        <v>0.19305876648692805</v>
      </c>
    </row>
    <row r="59" spans="1:12" ht="70.5" customHeight="1">
      <c r="A59" s="2" t="s">
        <v>75</v>
      </c>
      <c r="B59" s="50" t="s">
        <v>76</v>
      </c>
      <c r="C59" s="12">
        <f>C26/AVERAGE(C37,C21)</f>
        <v>0.13675445816360657</v>
      </c>
      <c r="D59" s="12">
        <f>'Industry Summary'!L52</f>
        <v>0.13330559294801242</v>
      </c>
      <c r="E59" s="12">
        <f>D26/AVERAGE(C21,D21)</f>
        <v>0.12797740544575015</v>
      </c>
      <c r="F59" s="12">
        <f>'Industry Summary'!L64</f>
        <v>0.20609893209627583</v>
      </c>
    </row>
    <row r="60" spans="1:12" ht="70.5" customHeight="1">
      <c r="A60" s="2" t="s">
        <v>77</v>
      </c>
      <c r="B60" s="50" t="s">
        <v>78</v>
      </c>
      <c r="C60" s="12">
        <f>C26/AVERAGE(C36,C20)</f>
        <v>0.20166006943469678</v>
      </c>
      <c r="D60" s="12">
        <f>'Industry Summary'!L53</f>
        <v>0.20662056251043043</v>
      </c>
      <c r="E60" s="12">
        <f>D26/AVERAGE(C20,D20)</f>
        <v>0.18224611525653781</v>
      </c>
      <c r="F60" s="12">
        <f>'Industry Summary'!L65</f>
        <v>0.33024034816826131</v>
      </c>
    </row>
    <row r="61" spans="1:12" ht="9" customHeight="1"/>
    <row r="62" spans="1:12" ht="26.85" customHeight="1">
      <c r="A62" s="56" t="s">
        <v>79</v>
      </c>
      <c r="B62" s="81"/>
      <c r="C62" s="81"/>
      <c r="D62" s="81"/>
      <c r="E62" s="81"/>
      <c r="F62" s="81"/>
      <c r="G62" s="81"/>
      <c r="H62" s="81"/>
      <c r="I62" s="81"/>
      <c r="J62" s="81"/>
      <c r="K62" s="81"/>
      <c r="L62" s="81"/>
    </row>
    <row r="63" spans="1:12" ht="15.75" customHeight="1">
      <c r="C63" s="57" t="s">
        <v>28</v>
      </c>
      <c r="D63" s="84"/>
      <c r="E63" s="57" t="s">
        <v>29</v>
      </c>
      <c r="F63" s="84"/>
    </row>
    <row r="64" spans="1:12" ht="21.95" customHeight="1">
      <c r="A64" s="5" t="s">
        <v>57</v>
      </c>
      <c r="B64" s="5" t="s">
        <v>58</v>
      </c>
      <c r="C64" s="5" t="s">
        <v>59</v>
      </c>
      <c r="D64" s="5" t="s">
        <v>60</v>
      </c>
      <c r="E64" s="5" t="s">
        <v>59</v>
      </c>
      <c r="F64" s="5" t="s">
        <v>60</v>
      </c>
    </row>
    <row r="65" spans="1:12" ht="138" customHeight="1">
      <c r="A65" s="2" t="s">
        <v>80</v>
      </c>
      <c r="B65" s="50" t="s">
        <v>81</v>
      </c>
      <c r="C65" s="11">
        <f>C23/AVERAGE(C35,C9)</f>
        <v>2.4859217752831855</v>
      </c>
      <c r="D65" s="11">
        <f>'Industry Summary'!L56</f>
        <v>3.0528355869658208</v>
      </c>
      <c r="E65" s="11">
        <f>D23/AVERAGE(C9,D9)</f>
        <v>2.3567528541130818</v>
      </c>
      <c r="F65" s="11">
        <f>'Industry Summary'!L68</f>
        <v>2.9688387658971824</v>
      </c>
    </row>
    <row r="66" spans="1:12" ht="9" customHeight="1"/>
    <row r="67" spans="1:12" ht="26.85" customHeight="1">
      <c r="A67" s="56" t="s">
        <v>82</v>
      </c>
      <c r="B67" s="81"/>
      <c r="C67" s="81"/>
      <c r="D67" s="81"/>
      <c r="E67" s="81"/>
      <c r="F67" s="81"/>
      <c r="G67" s="81"/>
      <c r="H67" s="81"/>
      <c r="I67" s="81"/>
      <c r="J67" s="81"/>
      <c r="K67" s="81"/>
      <c r="L67" s="81"/>
    </row>
    <row r="68" spans="1:12" ht="47.1" customHeight="1">
      <c r="A68" s="55" t="s">
        <v>83</v>
      </c>
      <c r="B68" s="81"/>
      <c r="C68" s="81"/>
      <c r="D68" s="81"/>
      <c r="E68" s="81"/>
      <c r="F68" s="81"/>
      <c r="G68" s="81"/>
      <c r="H68" s="81"/>
      <c r="I68" s="81"/>
      <c r="J68" s="81"/>
      <c r="K68" s="81"/>
      <c r="L68" s="81"/>
    </row>
    <row r="70" spans="1:12" ht="21.95" customHeight="1">
      <c r="A70" s="56" t="s">
        <v>84</v>
      </c>
      <c r="B70" s="81"/>
      <c r="C70" s="81"/>
      <c r="D70" s="81"/>
      <c r="E70" s="81"/>
      <c r="F70" s="81"/>
      <c r="G70" s="81"/>
      <c r="H70" s="81"/>
      <c r="I70" s="81"/>
      <c r="J70" s="81"/>
      <c r="K70" s="81"/>
      <c r="L70" s="81"/>
    </row>
    <row r="71" spans="1:12" ht="37.700000000000003" customHeight="1">
      <c r="A71" s="55" t="s">
        <v>85</v>
      </c>
      <c r="B71" s="81"/>
      <c r="C71" s="81"/>
      <c r="D71" s="81"/>
      <c r="E71" s="81"/>
      <c r="F71" s="81"/>
      <c r="G71" s="81"/>
      <c r="H71" s="81"/>
      <c r="I71" s="81"/>
      <c r="J71" s="81"/>
      <c r="K71" s="81"/>
      <c r="L71" s="81"/>
    </row>
    <row r="72" spans="1:12" ht="13.5" customHeight="1">
      <c r="A72" s="2" t="s">
        <v>86</v>
      </c>
      <c r="C72" s="4" t="s">
        <v>87</v>
      </c>
    </row>
    <row r="73" spans="1:12" ht="15.6" customHeight="1">
      <c r="A73" s="13" t="s">
        <v>43</v>
      </c>
      <c r="C73" s="7">
        <v>10002.93</v>
      </c>
    </row>
    <row r="75" spans="1:12" ht="21.95" customHeight="1">
      <c r="A75" s="56" t="s">
        <v>88</v>
      </c>
      <c r="B75" s="81"/>
      <c r="C75" s="81"/>
      <c r="D75" s="81"/>
      <c r="E75" s="81"/>
      <c r="F75" s="81"/>
      <c r="G75" s="81"/>
      <c r="H75" s="81"/>
      <c r="I75" s="81"/>
      <c r="J75" s="81"/>
      <c r="K75" s="81"/>
      <c r="L75" s="81"/>
    </row>
    <row r="76" spans="1:12" ht="13.5" customHeight="1">
      <c r="A76" s="2" t="s">
        <v>26</v>
      </c>
      <c r="C76" s="57" t="s">
        <v>87</v>
      </c>
      <c r="D76" s="84"/>
    </row>
    <row r="77" spans="1:12" ht="13.5" customHeight="1">
      <c r="C77" s="4" t="s">
        <v>28</v>
      </c>
      <c r="D77" s="4" t="s">
        <v>29</v>
      </c>
    </row>
    <row r="78" spans="1:12" ht="28.35" customHeight="1">
      <c r="A78" s="13" t="s">
        <v>89</v>
      </c>
      <c r="C78" s="7">
        <v>8860.69</v>
      </c>
      <c r="D78" s="7">
        <v>9124.76</v>
      </c>
    </row>
    <row r="79" spans="1:12" ht="15.6" customHeight="1">
      <c r="A79" s="13" t="s">
        <v>90</v>
      </c>
      <c r="C79" s="7">
        <v>47.86</v>
      </c>
      <c r="D79" s="7">
        <v>45.6</v>
      </c>
    </row>
    <row r="81" spans="1:12" ht="21.95" customHeight="1">
      <c r="A81" s="56" t="s">
        <v>91</v>
      </c>
      <c r="B81" s="81"/>
      <c r="C81" s="81"/>
      <c r="D81" s="81"/>
      <c r="E81" s="81"/>
      <c r="F81" s="81"/>
      <c r="G81" s="81"/>
      <c r="H81" s="81"/>
      <c r="I81" s="81"/>
      <c r="J81" s="81"/>
      <c r="K81" s="81"/>
      <c r="L81" s="81"/>
    </row>
    <row r="82" spans="1:12" ht="37.700000000000003" customHeight="1">
      <c r="A82" s="55" t="s">
        <v>92</v>
      </c>
      <c r="B82" s="81"/>
      <c r="C82" s="81"/>
      <c r="D82" s="81"/>
      <c r="E82" s="81"/>
      <c r="F82" s="81"/>
      <c r="G82" s="81"/>
      <c r="H82" s="81"/>
      <c r="I82" s="81"/>
      <c r="J82" s="81"/>
      <c r="K82" s="81"/>
      <c r="L82" s="81"/>
    </row>
    <row r="84" spans="1:12" ht="13.5" customHeight="1">
      <c r="C84" s="57" t="s">
        <v>28</v>
      </c>
      <c r="D84" s="84"/>
      <c r="E84" s="57" t="s">
        <v>29</v>
      </c>
      <c r="F84" s="84"/>
    </row>
    <row r="85" spans="1:12" ht="15.6" customHeight="1">
      <c r="A85" s="3" t="s">
        <v>57</v>
      </c>
      <c r="B85" s="3" t="s">
        <v>58</v>
      </c>
      <c r="C85" s="3" t="s">
        <v>59</v>
      </c>
      <c r="D85" s="3" t="s">
        <v>60</v>
      </c>
      <c r="E85" s="3" t="s">
        <v>59</v>
      </c>
      <c r="F85" s="3" t="s">
        <v>60</v>
      </c>
    </row>
    <row r="86" spans="1:12" ht="62.45" customHeight="1">
      <c r="A86" s="2" t="s">
        <v>93</v>
      </c>
      <c r="B86" s="50" t="s">
        <v>94</v>
      </c>
      <c r="C86" s="12">
        <f>(C22-C73)/C73</f>
        <v>1.6624129130164766E-2</v>
      </c>
      <c r="D86" s="12">
        <f>'Industry Summary'!L75</f>
        <v>5.5003857669910948E-3</v>
      </c>
      <c r="E86" s="12">
        <f>(D22-C22)/C22</f>
        <v>2.4670525369694139E-2</v>
      </c>
      <c r="F86" s="12">
        <f>'Industry Summary'!L80</f>
        <v>3.8760261726408533E-3</v>
      </c>
    </row>
    <row r="87" spans="1:12" ht="36.75" customHeight="1">
      <c r="A87" s="2" t="s">
        <v>95</v>
      </c>
      <c r="B87" s="50" t="s">
        <v>96</v>
      </c>
      <c r="C87" s="12">
        <f>(C22-(C78-C79))/C22</f>
        <v>0.13338191129703159</v>
      </c>
      <c r="D87" s="12">
        <f>'Industry Summary'!L76</f>
        <v>0.13378095531393658</v>
      </c>
      <c r="E87" s="12">
        <f>(D22-(D78-D79))/D22</f>
        <v>0.12868782449304714</v>
      </c>
      <c r="F87" s="12">
        <f>'Industry Summary'!L81</f>
        <v>0.13140018742773768</v>
      </c>
    </row>
    <row r="88" spans="1:12" ht="9" customHeight="1"/>
    <row r="89" spans="1:12" ht="26.85" customHeight="1">
      <c r="A89" s="56" t="s">
        <v>97</v>
      </c>
      <c r="B89" s="81"/>
      <c r="C89" s="81"/>
      <c r="D89" s="81"/>
      <c r="E89" s="81"/>
      <c r="F89" s="81"/>
      <c r="G89" s="81"/>
      <c r="H89" s="81"/>
      <c r="I89" s="81"/>
      <c r="J89" s="81"/>
      <c r="K89" s="81"/>
      <c r="L89" s="81"/>
    </row>
    <row r="90" spans="1:12" ht="32.1" customHeight="1">
      <c r="A90" s="55" t="s">
        <v>98</v>
      </c>
      <c r="B90" s="81"/>
      <c r="C90" s="81"/>
      <c r="D90" s="81"/>
      <c r="E90" s="81"/>
      <c r="F90" s="81"/>
      <c r="G90" s="81"/>
      <c r="H90" s="81"/>
      <c r="I90" s="81"/>
      <c r="J90" s="81"/>
      <c r="K90" s="81"/>
      <c r="L90" s="81"/>
    </row>
    <row r="92" spans="1:12" ht="15.75" customHeight="1">
      <c r="C92" s="57" t="s">
        <v>28</v>
      </c>
      <c r="D92" s="84"/>
      <c r="E92" s="57" t="s">
        <v>29</v>
      </c>
      <c r="F92" s="84"/>
    </row>
    <row r="93" spans="1:12" ht="21.95" customHeight="1">
      <c r="A93" s="5" t="s">
        <v>99</v>
      </c>
      <c r="B93" s="5" t="s">
        <v>58</v>
      </c>
      <c r="C93" s="5" t="s">
        <v>59</v>
      </c>
      <c r="D93" s="5" t="s">
        <v>60</v>
      </c>
      <c r="E93" s="5" t="s">
        <v>59</v>
      </c>
      <c r="F93" s="5" t="s">
        <v>60</v>
      </c>
    </row>
    <row r="94" spans="1:12" ht="29.25" customHeight="1">
      <c r="A94" s="10" t="s">
        <v>73</v>
      </c>
      <c r="B94" s="50" t="s">
        <v>100</v>
      </c>
      <c r="C94" s="12">
        <f>C26/C22</f>
        <v>0.10595699571845235</v>
      </c>
      <c r="D94" s="12">
        <f>'Industry Summary'!L51</f>
        <v>0.11618978422920279</v>
      </c>
      <c r="E94" s="12">
        <f>D26/D22</f>
        <v>0.10514870298749533</v>
      </c>
      <c r="F94" s="12">
        <f>'Industry Summary'!L63</f>
        <v>0.19305876648692805</v>
      </c>
    </row>
    <row r="95" spans="1:12" ht="29.25" customHeight="1">
      <c r="A95" s="10" t="s">
        <v>101</v>
      </c>
      <c r="B95" s="50" t="s">
        <v>102</v>
      </c>
      <c r="C95" s="11">
        <f>C22/AVERAGE(C37,C21)</f>
        <v>1.2906600195327249</v>
      </c>
      <c r="D95" s="11">
        <f>'Industry Summary'!L100</f>
        <v>1.15981123610491</v>
      </c>
      <c r="E95" s="11">
        <f>D22/AVERAGE(C21,D21)</f>
        <v>1.2171087403804657</v>
      </c>
      <c r="F95" s="11">
        <f>'Industry Summary'!L107</f>
        <v>1.0467514310922286</v>
      </c>
    </row>
    <row r="96" spans="1:12" ht="36.75" customHeight="1">
      <c r="A96" s="10" t="s">
        <v>103</v>
      </c>
      <c r="B96" s="50" t="s">
        <v>104</v>
      </c>
      <c r="C96" s="11">
        <f>AVERAGE(C37,C21)/AVERAGE(C36,C20)</f>
        <v>1.4746142256908379</v>
      </c>
      <c r="D96" s="11">
        <f>'Industry Summary'!L101</f>
        <v>1.5300609788525232</v>
      </c>
      <c r="E96" s="11">
        <f>AVERAGE(C21,D21)/AVERAGE(C20,D20)</f>
        <v>1.4240491485334283</v>
      </c>
      <c r="F96" s="11">
        <f>'Industry Summary'!L108</f>
        <v>1.4416243000688247</v>
      </c>
    </row>
    <row r="97" spans="1:12" ht="48.6" customHeight="1">
      <c r="A97" s="2" t="s">
        <v>105</v>
      </c>
      <c r="B97" s="50" t="s">
        <v>106</v>
      </c>
      <c r="C97" s="14">
        <f>C94*C95*C96</f>
        <v>0.20166006943469678</v>
      </c>
      <c r="D97" s="14">
        <f>D94*D95*D96</f>
        <v>0.20618828982399792</v>
      </c>
      <c r="E97" s="14">
        <f>E94*E95*E96</f>
        <v>0.18224611525653783</v>
      </c>
      <c r="F97" s="14">
        <f>F94*F95*F96</f>
        <v>0.29132998368373403</v>
      </c>
    </row>
    <row r="98" spans="1:12" ht="45.6" customHeight="1">
      <c r="A98" s="55" t="s">
        <v>107</v>
      </c>
      <c r="B98" s="81"/>
      <c r="C98" s="81"/>
      <c r="D98" s="81"/>
      <c r="E98" s="81"/>
      <c r="F98" s="81"/>
      <c r="G98" s="81"/>
      <c r="H98" s="81"/>
      <c r="I98" s="81"/>
      <c r="J98" s="81"/>
      <c r="K98" s="81"/>
      <c r="L98" s="81"/>
    </row>
    <row r="99" spans="1:12" ht="9" customHeight="1"/>
    <row r="100" spans="1:12" ht="26.85" customHeight="1">
      <c r="A100" s="56" t="s">
        <v>108</v>
      </c>
      <c r="B100" s="81"/>
      <c r="C100" s="81"/>
      <c r="D100" s="81"/>
      <c r="E100" s="81"/>
      <c r="F100" s="81"/>
      <c r="G100" s="81"/>
      <c r="H100" s="81"/>
      <c r="I100" s="81"/>
      <c r="J100" s="81"/>
      <c r="K100" s="81"/>
      <c r="L100" s="81"/>
    </row>
    <row r="101" spans="1:12" ht="35.1" customHeight="1">
      <c r="A101" s="55" t="s">
        <v>109</v>
      </c>
      <c r="B101" s="81"/>
      <c r="C101" s="81"/>
      <c r="D101" s="81"/>
      <c r="E101" s="81"/>
      <c r="F101" s="81"/>
      <c r="G101" s="81"/>
      <c r="H101" s="81"/>
      <c r="I101" s="81"/>
      <c r="J101" s="81"/>
      <c r="K101" s="81"/>
      <c r="L101" s="81"/>
    </row>
    <row r="103" spans="1:12" ht="56.1" customHeight="1">
      <c r="A103" s="55" t="s">
        <v>110</v>
      </c>
      <c r="B103" s="81"/>
      <c r="C103" s="81"/>
      <c r="D103" s="81"/>
      <c r="E103" s="81"/>
      <c r="F103" s="81"/>
      <c r="G103" s="81"/>
      <c r="H103" s="81"/>
      <c r="I103" s="81"/>
      <c r="J103" s="81"/>
      <c r="K103" s="81"/>
      <c r="L103" s="81"/>
    </row>
    <row r="105" spans="1:12" ht="21.95" customHeight="1">
      <c r="A105" s="5" t="s">
        <v>111</v>
      </c>
      <c r="B105" s="5" t="s">
        <v>58</v>
      </c>
      <c r="C105" s="5" t="s">
        <v>59</v>
      </c>
      <c r="D105" s="5" t="s">
        <v>60</v>
      </c>
      <c r="E105" s="5" t="s">
        <v>59</v>
      </c>
      <c r="F105" s="5" t="s">
        <v>60</v>
      </c>
    </row>
    <row r="106" spans="1:12" ht="36.75" customHeight="1">
      <c r="A106" s="10" t="s">
        <v>112</v>
      </c>
      <c r="B106" s="50" t="s">
        <v>113</v>
      </c>
      <c r="C106" s="12">
        <f>C26/C24</f>
        <v>0.75310678390203667</v>
      </c>
      <c r="D106" s="12">
        <f>'Industry Summary'!L116</f>
        <v>0.74455075714168328</v>
      </c>
      <c r="E106" s="12">
        <f>D26/D24</f>
        <v>0.76181669007523189</v>
      </c>
      <c r="F106" s="12">
        <f>'Industry Summary'!L127</f>
        <v>0.76399743065236247</v>
      </c>
    </row>
    <row r="107" spans="1:12" ht="36.75" customHeight="1">
      <c r="A107" s="10" t="s">
        <v>114</v>
      </c>
      <c r="B107" s="50" t="s">
        <v>115</v>
      </c>
      <c r="C107" s="12">
        <f>C24/(C24+C79)</f>
        <v>0.96763154335181933</v>
      </c>
      <c r="D107" s="12">
        <f>'Industry Summary'!L117</f>
        <v>0.97925395698897622</v>
      </c>
      <c r="E107" s="12">
        <f>D24/(D24+D79)</f>
        <v>0.96926850965750566</v>
      </c>
      <c r="F107" s="12">
        <f>'Industry Summary'!L128</f>
        <v>0.98174460403916297</v>
      </c>
    </row>
    <row r="108" spans="1:12" ht="29.25" customHeight="1">
      <c r="A108" s="10" t="s">
        <v>116</v>
      </c>
      <c r="B108" s="50" t="s">
        <v>117</v>
      </c>
      <c r="C108" s="12">
        <f>(C24+C79)/C22</f>
        <v>0.14539954883462056</v>
      </c>
      <c r="D108" s="12">
        <f>'Industry Summary'!L118</f>
        <v>0.15948466093114239</v>
      </c>
      <c r="E108" s="12">
        <f>(D24+D79)/D22</f>
        <v>0.14239978503085382</v>
      </c>
      <c r="F108" s="12">
        <f>'Industry Summary'!L129</f>
        <v>0.24689541654707003</v>
      </c>
    </row>
    <row r="109" spans="1:12" ht="48" customHeight="1">
      <c r="A109" s="10" t="s">
        <v>101</v>
      </c>
      <c r="B109" s="50" t="s">
        <v>118</v>
      </c>
      <c r="C109" s="11">
        <f>C95</f>
        <v>1.2906600195327249</v>
      </c>
      <c r="D109" s="11">
        <f>'Industry Summary'!L100</f>
        <v>1.15981123610491</v>
      </c>
      <c r="E109" s="11">
        <f>E95</f>
        <v>1.2171087403804657</v>
      </c>
      <c r="F109" s="11">
        <f>'Industry Summary'!L107</f>
        <v>1.0467514310922286</v>
      </c>
    </row>
    <row r="110" spans="1:12" ht="59.25" customHeight="1">
      <c r="A110" s="10" t="s">
        <v>103</v>
      </c>
      <c r="B110" s="50" t="s">
        <v>119</v>
      </c>
      <c r="C110" s="11">
        <f>C96</f>
        <v>1.4746142256908379</v>
      </c>
      <c r="D110" s="11">
        <f>'Industry Summary'!L101</f>
        <v>1.5300609788525232</v>
      </c>
      <c r="E110" s="11">
        <f>E96</f>
        <v>1.4240491485334283</v>
      </c>
      <c r="F110" s="11">
        <f>'Industry Summary'!L108</f>
        <v>1.4416243000688247</v>
      </c>
    </row>
    <row r="111" spans="1:12" ht="59.25" customHeight="1">
      <c r="A111" s="2" t="s">
        <v>120</v>
      </c>
      <c r="B111" s="50" t="s">
        <v>121</v>
      </c>
      <c r="C111" s="14">
        <f>C106*C107*C108*C109*C110</f>
        <v>0.20166006943469678</v>
      </c>
      <c r="D111" s="14">
        <f>D106*D107*D108*D109*D110</f>
        <v>0.20635006757934402</v>
      </c>
      <c r="E111" s="14">
        <f>E106*E107*E108*E109*E110</f>
        <v>0.18224611525653783</v>
      </c>
      <c r="F111" s="14">
        <f>F106*F107*F108*F109*F110</f>
        <v>0.27944677766678511</v>
      </c>
    </row>
    <row r="112" spans="1:12" ht="70.5" customHeight="1">
      <c r="A112" s="10" t="s">
        <v>122</v>
      </c>
      <c r="B112" s="50" t="s">
        <v>123</v>
      </c>
      <c r="C112" s="12">
        <f>C60</f>
        <v>0.20166006943469678</v>
      </c>
      <c r="D112" s="12">
        <f>D60</f>
        <v>0.20662056251043043</v>
      </c>
      <c r="E112" s="12">
        <f>E60</f>
        <v>0.18224611525653781</v>
      </c>
      <c r="F112" s="12">
        <f>F60</f>
        <v>0.33024034816826131</v>
      </c>
    </row>
    <row r="113" spans="1:12" ht="48" customHeight="1">
      <c r="A113" s="10" t="s">
        <v>124</v>
      </c>
      <c r="B113" s="50" t="s">
        <v>125</v>
      </c>
      <c r="C113" s="15">
        <f>C111-C112</f>
        <v>0</v>
      </c>
      <c r="D113" s="15">
        <f>D111-D112</f>
        <v>-2.7049493108641243E-4</v>
      </c>
      <c r="E113" s="15">
        <f>E111-E112</f>
        <v>0</v>
      </c>
      <c r="F113" s="15">
        <f>F111-F112</f>
        <v>-5.0793570501476204E-2</v>
      </c>
    </row>
    <row r="114" spans="1:12" ht="51" customHeight="1">
      <c r="A114" s="55" t="s">
        <v>126</v>
      </c>
      <c r="B114" s="81"/>
      <c r="C114" s="81"/>
      <c r="D114" s="81"/>
      <c r="E114" s="81"/>
      <c r="F114" s="81"/>
      <c r="G114" s="81"/>
      <c r="H114" s="81"/>
      <c r="I114" s="81"/>
      <c r="J114" s="81"/>
      <c r="K114" s="81"/>
      <c r="L114" s="81"/>
    </row>
    <row r="115" spans="1:12" ht="9" customHeight="1"/>
    <row r="116" spans="1:12" ht="26.85" customHeight="1">
      <c r="A116" s="56" t="s">
        <v>127</v>
      </c>
      <c r="B116" s="81"/>
      <c r="C116" s="81"/>
      <c r="D116" s="81"/>
      <c r="E116" s="81"/>
      <c r="F116" s="81"/>
      <c r="G116" s="81"/>
      <c r="H116" s="81"/>
      <c r="I116" s="81"/>
      <c r="J116" s="81"/>
      <c r="K116" s="81"/>
      <c r="L116" s="81"/>
    </row>
    <row r="117" spans="1:12" ht="36.6" customHeight="1">
      <c r="A117" s="3" t="s">
        <v>57</v>
      </c>
      <c r="B117" s="3" t="s">
        <v>128</v>
      </c>
      <c r="C117" s="3" t="s">
        <v>129</v>
      </c>
      <c r="D117" s="3" t="s">
        <v>130</v>
      </c>
      <c r="E117" s="3" t="s">
        <v>131</v>
      </c>
    </row>
    <row r="118" spans="1:12" ht="13.5" customHeight="1">
      <c r="A118" s="51" t="s">
        <v>61</v>
      </c>
      <c r="B118" s="52">
        <f t="shared" ref="B118:E120" si="0">C45</f>
        <v>2.0817218596406413</v>
      </c>
      <c r="C118" s="52">
        <f t="shared" si="0"/>
        <v>2.4353778229716396</v>
      </c>
      <c r="D118" s="52">
        <f t="shared" si="0"/>
        <v>2.1849998366096979</v>
      </c>
      <c r="E118" s="52">
        <f t="shared" si="0"/>
        <v>2.4275972449136276</v>
      </c>
    </row>
    <row r="119" spans="1:12" ht="13.5" customHeight="1">
      <c r="A119" s="51" t="s">
        <v>63</v>
      </c>
      <c r="B119" s="52">
        <f t="shared" si="0"/>
        <v>0.97051003142373715</v>
      </c>
      <c r="C119" s="52">
        <f t="shared" si="0"/>
        <v>1.5808142416651734</v>
      </c>
      <c r="D119" s="52">
        <f t="shared" si="0"/>
        <v>1.1460242471208295</v>
      </c>
      <c r="E119" s="52">
        <f t="shared" si="0"/>
        <v>1.6811361655827657</v>
      </c>
    </row>
    <row r="120" spans="1:12" ht="13.5" customHeight="1">
      <c r="A120" s="51" t="s">
        <v>65</v>
      </c>
      <c r="B120" s="52">
        <f t="shared" si="0"/>
        <v>0.18423676577229878</v>
      </c>
      <c r="C120" s="52">
        <f t="shared" si="0"/>
        <v>0.15262563733347595</v>
      </c>
      <c r="D120" s="52">
        <f t="shared" si="0"/>
        <v>9.6610351475881248E-2</v>
      </c>
      <c r="E120" s="52">
        <f t="shared" si="0"/>
        <v>0.11967228575278641</v>
      </c>
    </row>
    <row r="121" spans="1:12" ht="13.5" customHeight="1">
      <c r="A121" s="51" t="s">
        <v>68</v>
      </c>
      <c r="B121" s="52">
        <f t="shared" ref="B121:E122" si="1">C52</f>
        <v>6.8649160543982987E-5</v>
      </c>
      <c r="C121" s="52">
        <f t="shared" si="1"/>
        <v>4.2882759079160922E-4</v>
      </c>
      <c r="D121" s="52">
        <f t="shared" si="1"/>
        <v>0</v>
      </c>
      <c r="E121" s="52">
        <f t="shared" si="1"/>
        <v>1.1449284846758376E-2</v>
      </c>
    </row>
    <row r="122" spans="1:12" ht="13.5" customHeight="1">
      <c r="A122" s="51" t="s">
        <v>132</v>
      </c>
      <c r="B122" s="52">
        <f t="shared" si="1"/>
        <v>8.6689807887964571E-2</v>
      </c>
      <c r="C122" s="52">
        <f t="shared" si="1"/>
        <v>4.8453002725657834E-2</v>
      </c>
      <c r="D122" s="52">
        <f t="shared" si="1"/>
        <v>7.2323385202352236E-2</v>
      </c>
      <c r="E122" s="52">
        <f t="shared" si="1"/>
        <v>5.3467726099874505E-2</v>
      </c>
    </row>
    <row r="127" spans="1:12" ht="13.5" customHeight="1"/>
    <row r="128" spans="1:12"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spans="1:5" ht="13.5" customHeight="1"/>
    <row r="146" spans="1:5" ht="13.5" customHeight="1"/>
    <row r="147" spans="1:5" ht="36.6" customHeight="1">
      <c r="A147" s="3" t="s">
        <v>57</v>
      </c>
      <c r="B147" s="3" t="s">
        <v>128</v>
      </c>
      <c r="C147" s="3" t="s">
        <v>129</v>
      </c>
      <c r="D147" s="3" t="s">
        <v>130</v>
      </c>
      <c r="E147" s="3" t="s">
        <v>131</v>
      </c>
    </row>
    <row r="148" spans="1:5" ht="13.5" customHeight="1">
      <c r="A148" s="51" t="s">
        <v>73</v>
      </c>
      <c r="B148" s="53">
        <f t="shared" ref="B148:E150" si="2">C58</f>
        <v>0.10595699571845235</v>
      </c>
      <c r="C148" s="53">
        <f t="shared" si="2"/>
        <v>0.11618978422920279</v>
      </c>
      <c r="D148" s="53">
        <f t="shared" si="2"/>
        <v>0.10514870298749533</v>
      </c>
      <c r="E148" s="53">
        <f t="shared" si="2"/>
        <v>0.19305876648692805</v>
      </c>
    </row>
    <row r="149" spans="1:5" ht="13.5" customHeight="1">
      <c r="A149" s="51" t="s">
        <v>133</v>
      </c>
      <c r="B149" s="53">
        <f t="shared" si="2"/>
        <v>0.13675445816360657</v>
      </c>
      <c r="C149" s="53">
        <f t="shared" si="2"/>
        <v>0.13330559294801242</v>
      </c>
      <c r="D149" s="53">
        <f t="shared" si="2"/>
        <v>0.12797740544575015</v>
      </c>
      <c r="E149" s="53">
        <f t="shared" si="2"/>
        <v>0.20609893209627583</v>
      </c>
    </row>
    <row r="150" spans="1:5" ht="13.5" customHeight="1">
      <c r="A150" s="51" t="s">
        <v>134</v>
      </c>
      <c r="B150" s="53">
        <f t="shared" si="2"/>
        <v>0.20166006943469678</v>
      </c>
      <c r="C150" s="53">
        <f t="shared" si="2"/>
        <v>0.20662056251043043</v>
      </c>
      <c r="D150" s="53">
        <f t="shared" si="2"/>
        <v>0.18224611525653781</v>
      </c>
      <c r="E150" s="53">
        <f t="shared" si="2"/>
        <v>0.33024034816826131</v>
      </c>
    </row>
    <row r="155" spans="1:5" ht="13.5" customHeight="1"/>
    <row r="156" spans="1:5" ht="13.5" customHeight="1"/>
    <row r="157" spans="1:5" ht="13.5" customHeight="1"/>
    <row r="158" spans="1:5" ht="13.5" customHeight="1"/>
    <row r="159" spans="1:5" ht="13.5" customHeight="1"/>
    <row r="160" spans="1:5" ht="13.5" customHeight="1"/>
    <row r="161" spans="1:12" ht="13.5" customHeight="1"/>
    <row r="162" spans="1:12" ht="13.5" customHeight="1"/>
    <row r="163" spans="1:12" ht="13.5" customHeight="1"/>
    <row r="164" spans="1:12" ht="13.5" customHeight="1"/>
    <row r="165" spans="1:12" ht="13.5" customHeight="1"/>
    <row r="166" spans="1:12" ht="13.5" customHeight="1"/>
    <row r="167" spans="1:12" ht="13.5" customHeight="1"/>
    <row r="168" spans="1:12" ht="13.5" customHeight="1"/>
    <row r="169" spans="1:12" ht="13.5" customHeight="1"/>
    <row r="170" spans="1:12" ht="13.5" customHeight="1"/>
    <row r="171" spans="1:12" ht="13.5" customHeight="1"/>
    <row r="172" spans="1:12" ht="13.5" customHeight="1"/>
    <row r="173" spans="1:12" ht="13.5" customHeight="1"/>
    <row r="174" spans="1:12" ht="13.5" customHeight="1"/>
    <row r="175" spans="1:12" ht="9" customHeight="1"/>
    <row r="176" spans="1:12" ht="26.85" customHeight="1">
      <c r="A176" s="56" t="s">
        <v>135</v>
      </c>
      <c r="B176" s="81"/>
      <c r="C176" s="81"/>
      <c r="D176" s="81"/>
      <c r="E176" s="81"/>
      <c r="F176" s="81"/>
      <c r="G176" s="81"/>
      <c r="H176" s="81"/>
      <c r="I176" s="81"/>
      <c r="J176" s="81"/>
      <c r="K176" s="81"/>
      <c r="L176" s="81"/>
    </row>
    <row r="177" spans="1:12" ht="24.4" customHeight="1">
      <c r="A177" s="56" t="s">
        <v>136</v>
      </c>
      <c r="B177" s="81"/>
      <c r="C177" s="81"/>
      <c r="D177" s="81"/>
      <c r="E177" s="81"/>
      <c r="F177" s="81"/>
      <c r="G177" s="81"/>
      <c r="H177" s="81"/>
      <c r="I177" s="81"/>
      <c r="J177" s="81"/>
      <c r="K177" s="81"/>
      <c r="L177" s="81"/>
    </row>
    <row r="178" spans="1:12" ht="36.6" customHeight="1">
      <c r="A178" s="55" t="s">
        <v>137</v>
      </c>
      <c r="B178" s="81"/>
      <c r="C178" s="81"/>
      <c r="D178" s="81"/>
      <c r="E178" s="81"/>
      <c r="F178" s="81"/>
      <c r="G178" s="81"/>
      <c r="H178" s="81"/>
      <c r="I178" s="81"/>
      <c r="J178" s="81"/>
      <c r="K178" s="81"/>
      <c r="L178" s="81"/>
    </row>
    <row r="179" spans="1:12" ht="67.150000000000006" customHeight="1">
      <c r="A179" s="55" t="s">
        <v>138</v>
      </c>
      <c r="B179" s="81"/>
      <c r="C179" s="81"/>
      <c r="D179" s="81"/>
      <c r="E179" s="81"/>
      <c r="F179" s="81"/>
      <c r="G179" s="81"/>
      <c r="H179" s="81"/>
      <c r="I179" s="81"/>
      <c r="J179" s="81"/>
      <c r="K179" s="81"/>
      <c r="L179" s="81"/>
    </row>
    <row r="180" spans="1:12" ht="51.95" customHeight="1">
      <c r="A180" s="55" t="s">
        <v>139</v>
      </c>
      <c r="B180" s="81"/>
      <c r="C180" s="81"/>
      <c r="D180" s="81"/>
      <c r="E180" s="81"/>
      <c r="F180" s="81"/>
      <c r="G180" s="81"/>
      <c r="H180" s="81"/>
      <c r="I180" s="81"/>
      <c r="J180" s="81"/>
      <c r="K180" s="81"/>
      <c r="L180" s="81"/>
    </row>
    <row r="181" spans="1:12" ht="51.95" customHeight="1">
      <c r="A181" s="55" t="s">
        <v>140</v>
      </c>
      <c r="B181" s="81"/>
      <c r="C181" s="81"/>
      <c r="D181" s="81"/>
      <c r="E181" s="81"/>
      <c r="F181" s="81"/>
      <c r="G181" s="81"/>
      <c r="H181" s="81"/>
      <c r="I181" s="81"/>
      <c r="J181" s="81"/>
      <c r="K181" s="81"/>
      <c r="L181" s="81"/>
    </row>
    <row r="182" spans="1:12" ht="36.6" customHeight="1">
      <c r="A182" s="55" t="s">
        <v>141</v>
      </c>
      <c r="B182" s="81"/>
      <c r="C182" s="81"/>
      <c r="D182" s="81"/>
      <c r="E182" s="81"/>
      <c r="F182" s="81"/>
      <c r="G182" s="81"/>
      <c r="H182" s="81"/>
      <c r="I182" s="81"/>
      <c r="J182" s="81"/>
      <c r="K182" s="81"/>
      <c r="L182" s="81"/>
    </row>
    <row r="183" spans="1:12" ht="9" customHeight="1"/>
    <row r="184" spans="1:12" ht="21.95" customHeight="1">
      <c r="A184" s="56" t="s">
        <v>142</v>
      </c>
      <c r="B184" s="81"/>
      <c r="C184" s="81"/>
      <c r="D184" s="81"/>
      <c r="E184" s="81"/>
      <c r="F184" s="81"/>
      <c r="G184" s="81"/>
      <c r="H184" s="81"/>
      <c r="I184" s="81"/>
      <c r="J184" s="81"/>
      <c r="K184" s="81"/>
      <c r="L184" s="81"/>
    </row>
    <row r="185" spans="1:12" ht="16.5" customHeight="1">
      <c r="A185" s="6" t="s">
        <v>143</v>
      </c>
    </row>
    <row r="186" spans="1:12" ht="8.1" customHeight="1">
      <c r="A186" s="60" t="s">
        <v>144</v>
      </c>
      <c r="B186" s="85"/>
      <c r="C186" s="85"/>
      <c r="D186" s="85"/>
      <c r="E186" s="85"/>
      <c r="F186" s="85"/>
      <c r="G186" s="85"/>
      <c r="H186" s="85"/>
      <c r="I186" s="85"/>
      <c r="J186" s="85"/>
      <c r="K186" s="85"/>
      <c r="L186" s="85"/>
    </row>
    <row r="187" spans="1:12" ht="8.1" customHeight="1">
      <c r="A187" s="86"/>
      <c r="B187" s="81"/>
      <c r="C187" s="81"/>
      <c r="D187" s="81"/>
      <c r="E187" s="81"/>
      <c r="F187" s="81"/>
      <c r="G187" s="81"/>
      <c r="H187" s="81"/>
      <c r="I187" s="81"/>
      <c r="J187" s="81"/>
      <c r="K187" s="81"/>
      <c r="L187" s="81"/>
    </row>
    <row r="188" spans="1:12" ht="8.1" customHeight="1">
      <c r="A188" s="86"/>
      <c r="B188" s="81"/>
      <c r="C188" s="81"/>
      <c r="D188" s="81"/>
      <c r="E188" s="81"/>
      <c r="F188" s="81"/>
      <c r="G188" s="81"/>
      <c r="H188" s="81"/>
      <c r="I188" s="81"/>
      <c r="J188" s="81"/>
      <c r="K188" s="81"/>
      <c r="L188" s="81"/>
    </row>
    <row r="189" spans="1:12" ht="8.1" customHeight="1">
      <c r="A189" s="86"/>
      <c r="B189" s="81"/>
      <c r="C189" s="81"/>
      <c r="D189" s="81"/>
      <c r="E189" s="81"/>
      <c r="F189" s="81"/>
      <c r="G189" s="81"/>
      <c r="H189" s="81"/>
      <c r="I189" s="81"/>
      <c r="J189" s="81"/>
      <c r="K189" s="81"/>
      <c r="L189" s="81"/>
    </row>
    <row r="190" spans="1:12" ht="8.1" customHeight="1">
      <c r="A190" s="86"/>
      <c r="B190" s="81"/>
      <c r="C190" s="81"/>
      <c r="D190" s="81"/>
      <c r="E190" s="81"/>
      <c r="F190" s="81"/>
      <c r="G190" s="81"/>
      <c r="H190" s="81"/>
      <c r="I190" s="81"/>
      <c r="J190" s="81"/>
      <c r="K190" s="81"/>
      <c r="L190" s="81"/>
    </row>
    <row r="191" spans="1:12" ht="8.1" customHeight="1">
      <c r="A191" s="86"/>
      <c r="B191" s="81"/>
      <c r="C191" s="81"/>
      <c r="D191" s="81"/>
      <c r="E191" s="81"/>
      <c r="F191" s="81"/>
      <c r="G191" s="81"/>
      <c r="H191" s="81"/>
      <c r="I191" s="81"/>
      <c r="J191" s="81"/>
      <c r="K191" s="81"/>
      <c r="L191" s="81"/>
    </row>
    <row r="192" spans="1:12" ht="8.1" customHeight="1">
      <c r="A192" s="86"/>
      <c r="B192" s="81"/>
      <c r="C192" s="81"/>
      <c r="D192" s="81"/>
      <c r="E192" s="81"/>
      <c r="F192" s="81"/>
      <c r="G192" s="81"/>
      <c r="H192" s="81"/>
      <c r="I192" s="81"/>
      <c r="J192" s="81"/>
      <c r="K192" s="81"/>
      <c r="L192" s="81"/>
    </row>
    <row r="193" spans="1:12" ht="8.1" customHeight="1">
      <c r="A193" s="86"/>
      <c r="B193" s="81"/>
      <c r="C193" s="81"/>
      <c r="D193" s="81"/>
      <c r="E193" s="81"/>
      <c r="F193" s="81"/>
      <c r="G193" s="81"/>
      <c r="H193" s="81"/>
      <c r="I193" s="81"/>
      <c r="J193" s="81"/>
      <c r="K193" s="81"/>
      <c r="L193" s="81"/>
    </row>
    <row r="194" spans="1:12" ht="8.1" customHeight="1">
      <c r="A194" s="86"/>
      <c r="B194" s="81"/>
      <c r="C194" s="81"/>
      <c r="D194" s="81"/>
      <c r="E194" s="81"/>
      <c r="F194" s="81"/>
      <c r="G194" s="81"/>
      <c r="H194" s="81"/>
      <c r="I194" s="81"/>
      <c r="J194" s="81"/>
      <c r="K194" s="81"/>
      <c r="L194" s="81"/>
    </row>
    <row r="195" spans="1:12" ht="8.1" customHeight="1">
      <c r="A195" s="86"/>
      <c r="B195" s="81"/>
      <c r="C195" s="81"/>
      <c r="D195" s="81"/>
      <c r="E195" s="81"/>
      <c r="F195" s="81"/>
      <c r="G195" s="81"/>
      <c r="H195" s="81"/>
      <c r="I195" s="81"/>
      <c r="J195" s="81"/>
      <c r="K195" s="81"/>
      <c r="L195" s="81"/>
    </row>
    <row r="196" spans="1:12" ht="8.1" customHeight="1">
      <c r="A196" s="86"/>
      <c r="B196" s="81"/>
      <c r="C196" s="81"/>
      <c r="D196" s="81"/>
      <c r="E196" s="81"/>
      <c r="F196" s="81"/>
      <c r="G196" s="81"/>
      <c r="H196" s="81"/>
      <c r="I196" s="81"/>
      <c r="J196" s="81"/>
      <c r="K196" s="81"/>
      <c r="L196" s="81"/>
    </row>
    <row r="197" spans="1:12" ht="8.1" customHeight="1">
      <c r="A197" s="86"/>
      <c r="B197" s="81"/>
      <c r="C197" s="81"/>
      <c r="D197" s="81"/>
      <c r="E197" s="81"/>
      <c r="F197" s="81"/>
      <c r="G197" s="81"/>
      <c r="H197" s="81"/>
      <c r="I197" s="81"/>
      <c r="J197" s="81"/>
      <c r="K197" s="81"/>
      <c r="L197" s="81"/>
    </row>
    <row r="198" spans="1:12" ht="8.1" customHeight="1">
      <c r="A198" s="86"/>
      <c r="B198" s="81"/>
      <c r="C198" s="81"/>
      <c r="D198" s="81"/>
      <c r="E198" s="81"/>
      <c r="F198" s="81"/>
      <c r="G198" s="81"/>
      <c r="H198" s="81"/>
      <c r="I198" s="81"/>
      <c r="J198" s="81"/>
      <c r="K198" s="81"/>
      <c r="L198" s="81"/>
    </row>
    <row r="199" spans="1:12" ht="8.1" customHeight="1">
      <c r="A199" s="86"/>
      <c r="B199" s="81"/>
      <c r="C199" s="81"/>
      <c r="D199" s="81"/>
      <c r="E199" s="81"/>
      <c r="F199" s="81"/>
      <c r="G199" s="81"/>
      <c r="H199" s="81"/>
      <c r="I199" s="81"/>
      <c r="J199" s="81"/>
      <c r="K199" s="81"/>
      <c r="L199" s="81"/>
    </row>
    <row r="200" spans="1:12" ht="8.1" customHeight="1">
      <c r="A200" s="86"/>
      <c r="B200" s="81"/>
      <c r="C200" s="81"/>
      <c r="D200" s="81"/>
      <c r="E200" s="81"/>
      <c r="F200" s="81"/>
      <c r="G200" s="81"/>
      <c r="H200" s="81"/>
      <c r="I200" s="81"/>
      <c r="J200" s="81"/>
      <c r="K200" s="81"/>
      <c r="L200" s="81"/>
    </row>
    <row r="201" spans="1:12" ht="8.1" customHeight="1">
      <c r="A201" s="86"/>
      <c r="B201" s="81"/>
      <c r="C201" s="81"/>
      <c r="D201" s="81"/>
      <c r="E201" s="81"/>
      <c r="F201" s="81"/>
      <c r="G201" s="81"/>
      <c r="H201" s="81"/>
      <c r="I201" s="81"/>
      <c r="J201" s="81"/>
      <c r="K201" s="81"/>
      <c r="L201" s="81"/>
    </row>
    <row r="202" spans="1:12" ht="8.1" customHeight="1">
      <c r="A202" s="86"/>
      <c r="B202" s="81"/>
      <c r="C202" s="81"/>
      <c r="D202" s="81"/>
      <c r="E202" s="81"/>
      <c r="F202" s="81"/>
      <c r="G202" s="81"/>
      <c r="H202" s="81"/>
      <c r="I202" s="81"/>
      <c r="J202" s="81"/>
      <c r="K202" s="81"/>
      <c r="L202" s="81"/>
    </row>
    <row r="203" spans="1:12" ht="3" customHeight="1">
      <c r="A203" s="86"/>
      <c r="B203" s="81"/>
      <c r="C203" s="81"/>
      <c r="D203" s="81"/>
      <c r="E203" s="81"/>
      <c r="F203" s="81"/>
      <c r="G203" s="81"/>
      <c r="H203" s="81"/>
      <c r="I203" s="81"/>
      <c r="J203" s="81"/>
      <c r="K203" s="81"/>
      <c r="L203" s="81"/>
    </row>
    <row r="205" spans="1:12" ht="16.5" customHeight="1">
      <c r="A205" s="6" t="s">
        <v>145</v>
      </c>
    </row>
    <row r="206" spans="1:12" ht="9.1999999999999993" customHeight="1">
      <c r="A206" s="60" t="s">
        <v>146</v>
      </c>
      <c r="B206" s="85"/>
      <c r="C206" s="85"/>
      <c r="D206" s="85"/>
      <c r="E206" s="85"/>
      <c r="F206" s="85"/>
      <c r="G206" s="85"/>
      <c r="H206" s="85"/>
      <c r="I206" s="85"/>
      <c r="J206" s="85"/>
      <c r="K206" s="85"/>
      <c r="L206" s="85"/>
    </row>
    <row r="207" spans="1:12" ht="9.1999999999999993" customHeight="1">
      <c r="A207" s="86"/>
      <c r="B207" s="81"/>
      <c r="C207" s="81"/>
      <c r="D207" s="81"/>
      <c r="E207" s="81"/>
      <c r="F207" s="81"/>
      <c r="G207" s="81"/>
      <c r="H207" s="81"/>
      <c r="I207" s="81"/>
      <c r="J207" s="81"/>
      <c r="K207" s="81"/>
      <c r="L207" s="81"/>
    </row>
    <row r="208" spans="1:12" ht="9.1999999999999993" customHeight="1">
      <c r="A208" s="86"/>
      <c r="B208" s="81"/>
      <c r="C208" s="81"/>
      <c r="D208" s="81"/>
      <c r="E208" s="81"/>
      <c r="F208" s="81"/>
      <c r="G208" s="81"/>
      <c r="H208" s="81"/>
      <c r="I208" s="81"/>
      <c r="J208" s="81"/>
      <c r="K208" s="81"/>
      <c r="L208" s="81"/>
    </row>
    <row r="209" spans="1:12" ht="9.1999999999999993" customHeight="1">
      <c r="A209" s="86"/>
      <c r="B209" s="81"/>
      <c r="C209" s="81"/>
      <c r="D209" s="81"/>
      <c r="E209" s="81"/>
      <c r="F209" s="81"/>
      <c r="G209" s="81"/>
      <c r="H209" s="81"/>
      <c r="I209" s="81"/>
      <c r="J209" s="81"/>
      <c r="K209" s="81"/>
      <c r="L209" s="81"/>
    </row>
    <row r="210" spans="1:12" ht="9.1999999999999993" customHeight="1">
      <c r="A210" s="86"/>
      <c r="B210" s="81"/>
      <c r="C210" s="81"/>
      <c r="D210" s="81"/>
      <c r="E210" s="81"/>
      <c r="F210" s="81"/>
      <c r="G210" s="81"/>
      <c r="H210" s="81"/>
      <c r="I210" s="81"/>
      <c r="J210" s="81"/>
      <c r="K210" s="81"/>
      <c r="L210" s="81"/>
    </row>
    <row r="211" spans="1:12" ht="9.1999999999999993" customHeight="1">
      <c r="A211" s="86"/>
      <c r="B211" s="81"/>
      <c r="C211" s="81"/>
      <c r="D211" s="81"/>
      <c r="E211" s="81"/>
      <c r="F211" s="81"/>
      <c r="G211" s="81"/>
      <c r="H211" s="81"/>
      <c r="I211" s="81"/>
      <c r="J211" s="81"/>
      <c r="K211" s="81"/>
      <c r="L211" s="81"/>
    </row>
    <row r="212" spans="1:12" ht="9.1999999999999993" customHeight="1">
      <c r="A212" s="86"/>
      <c r="B212" s="81"/>
      <c r="C212" s="81"/>
      <c r="D212" s="81"/>
      <c r="E212" s="81"/>
      <c r="F212" s="81"/>
      <c r="G212" s="81"/>
      <c r="H212" s="81"/>
      <c r="I212" s="81"/>
      <c r="J212" s="81"/>
      <c r="K212" s="81"/>
      <c r="L212" s="81"/>
    </row>
    <row r="213" spans="1:12" ht="9.1999999999999993" customHeight="1">
      <c r="A213" s="86"/>
      <c r="B213" s="81"/>
      <c r="C213" s="81"/>
      <c r="D213" s="81"/>
      <c r="E213" s="81"/>
      <c r="F213" s="81"/>
      <c r="G213" s="81"/>
      <c r="H213" s="81"/>
      <c r="I213" s="81"/>
      <c r="J213" s="81"/>
      <c r="K213" s="81"/>
      <c r="L213" s="81"/>
    </row>
    <row r="214" spans="1:12" ht="9.1999999999999993" customHeight="1">
      <c r="A214" s="86"/>
      <c r="B214" s="81"/>
      <c r="C214" s="81"/>
      <c r="D214" s="81"/>
      <c r="E214" s="81"/>
      <c r="F214" s="81"/>
      <c r="G214" s="81"/>
      <c r="H214" s="81"/>
      <c r="I214" s="81"/>
      <c r="J214" s="81"/>
      <c r="K214" s="81"/>
      <c r="L214" s="81"/>
    </row>
    <row r="215" spans="1:12" ht="9.1999999999999993" customHeight="1">
      <c r="A215" s="86"/>
      <c r="B215" s="81"/>
      <c r="C215" s="81"/>
      <c r="D215" s="81"/>
      <c r="E215" s="81"/>
      <c r="F215" s="81"/>
      <c r="G215" s="81"/>
      <c r="H215" s="81"/>
      <c r="I215" s="81"/>
      <c r="J215" s="81"/>
      <c r="K215" s="81"/>
      <c r="L215" s="81"/>
    </row>
    <row r="216" spans="1:12" ht="9.1999999999999993" customHeight="1">
      <c r="A216" s="86"/>
      <c r="B216" s="81"/>
      <c r="C216" s="81"/>
      <c r="D216" s="81"/>
      <c r="E216" s="81"/>
      <c r="F216" s="81"/>
      <c r="G216" s="81"/>
      <c r="H216" s="81"/>
      <c r="I216" s="81"/>
      <c r="J216" s="81"/>
      <c r="K216" s="81"/>
      <c r="L216" s="81"/>
    </row>
    <row r="217" spans="1:12" ht="9.1999999999999993" customHeight="1">
      <c r="A217" s="86"/>
      <c r="B217" s="81"/>
      <c r="C217" s="81"/>
      <c r="D217" s="81"/>
      <c r="E217" s="81"/>
      <c r="F217" s="81"/>
      <c r="G217" s="81"/>
      <c r="H217" s="81"/>
      <c r="I217" s="81"/>
      <c r="J217" s="81"/>
      <c r="K217" s="81"/>
      <c r="L217" s="81"/>
    </row>
    <row r="218" spans="1:12" ht="9" customHeight="1">
      <c r="A218" s="86"/>
      <c r="B218" s="81"/>
      <c r="C218" s="81"/>
      <c r="D218" s="81"/>
      <c r="E218" s="81"/>
      <c r="F218" s="81"/>
      <c r="G218" s="81"/>
      <c r="H218" s="81"/>
      <c r="I218" s="81"/>
      <c r="J218" s="81"/>
      <c r="K218" s="81"/>
      <c r="L218" s="81"/>
    </row>
    <row r="219" spans="1:12" ht="9" customHeight="1">
      <c r="A219" s="86"/>
      <c r="B219" s="81"/>
      <c r="C219" s="81"/>
      <c r="D219" s="81"/>
      <c r="E219" s="81"/>
      <c r="F219" s="81"/>
      <c r="G219" s="81"/>
      <c r="H219" s="81"/>
      <c r="I219" s="81"/>
      <c r="J219" s="81"/>
      <c r="K219" s="81"/>
      <c r="L219" s="81"/>
    </row>
    <row r="220" spans="1:12" ht="6" customHeight="1">
      <c r="A220" s="86"/>
      <c r="B220" s="81"/>
      <c r="C220" s="81"/>
      <c r="D220" s="81"/>
      <c r="E220" s="81"/>
      <c r="F220" s="81"/>
      <c r="G220" s="81"/>
      <c r="H220" s="81"/>
      <c r="I220" s="81"/>
      <c r="J220" s="81"/>
      <c r="K220" s="81"/>
      <c r="L220" s="81"/>
    </row>
    <row r="221" spans="1:12" ht="9" hidden="1" customHeight="1">
      <c r="A221" s="86"/>
      <c r="B221" s="81"/>
      <c r="C221" s="81"/>
      <c r="D221" s="81"/>
      <c r="E221" s="81"/>
      <c r="F221" s="81"/>
      <c r="G221" s="81"/>
      <c r="H221" s="81"/>
      <c r="I221" s="81"/>
      <c r="J221" s="81"/>
      <c r="K221" s="81"/>
      <c r="L221" s="81"/>
    </row>
    <row r="222" spans="1:12" ht="9" hidden="1" customHeight="1">
      <c r="A222" s="86"/>
      <c r="B222" s="81"/>
      <c r="C222" s="81"/>
      <c r="D222" s="81"/>
      <c r="E222" s="81"/>
      <c r="F222" s="81"/>
      <c r="G222" s="81"/>
      <c r="H222" s="81"/>
      <c r="I222" s="81"/>
      <c r="J222" s="81"/>
      <c r="K222" s="81"/>
      <c r="L222" s="81"/>
    </row>
    <row r="223" spans="1:12" ht="9" hidden="1" customHeight="1">
      <c r="A223" s="86"/>
      <c r="B223" s="81"/>
      <c r="C223" s="81"/>
      <c r="D223" s="81"/>
      <c r="E223" s="81"/>
      <c r="F223" s="81"/>
      <c r="G223" s="81"/>
      <c r="H223" s="81"/>
      <c r="I223" s="81"/>
      <c r="J223" s="81"/>
      <c r="K223" s="81"/>
      <c r="L223" s="81"/>
    </row>
    <row r="224" spans="1:12" ht="9" hidden="1" customHeight="1">
      <c r="A224" s="86"/>
      <c r="B224" s="81"/>
      <c r="C224" s="81"/>
      <c r="D224" s="81"/>
      <c r="E224" s="81"/>
      <c r="F224" s="81"/>
      <c r="G224" s="81"/>
      <c r="H224" s="81"/>
      <c r="I224" s="81"/>
      <c r="J224" s="81"/>
      <c r="K224" s="81"/>
      <c r="L224" s="81"/>
    </row>
    <row r="225" spans="1:12" ht="9" hidden="1" customHeight="1">
      <c r="A225" s="86"/>
      <c r="B225" s="81"/>
      <c r="C225" s="81"/>
      <c r="D225" s="81"/>
      <c r="E225" s="81"/>
      <c r="F225" s="81"/>
      <c r="G225" s="81"/>
      <c r="H225" s="81"/>
      <c r="I225" s="81"/>
      <c r="J225" s="81"/>
      <c r="K225" s="81"/>
      <c r="L225" s="81"/>
    </row>
    <row r="226" spans="1:12" ht="9" hidden="1" customHeight="1">
      <c r="A226" s="86"/>
      <c r="B226" s="81"/>
      <c r="C226" s="81"/>
      <c r="D226" s="81"/>
      <c r="E226" s="81"/>
      <c r="F226" s="81"/>
      <c r="G226" s="81"/>
      <c r="H226" s="81"/>
      <c r="I226" s="81"/>
      <c r="J226" s="81"/>
      <c r="K226" s="81"/>
      <c r="L226" s="81"/>
    </row>
    <row r="227" spans="1:12" ht="9" hidden="1" customHeight="1">
      <c r="A227" s="86"/>
      <c r="B227" s="81"/>
      <c r="C227" s="81"/>
      <c r="D227" s="81"/>
      <c r="E227" s="81"/>
      <c r="F227" s="81"/>
      <c r="G227" s="81"/>
      <c r="H227" s="81"/>
      <c r="I227" s="81"/>
      <c r="J227" s="81"/>
      <c r="K227" s="81"/>
      <c r="L227" s="81"/>
    </row>
    <row r="228" spans="1:12" ht="9" hidden="1" customHeight="1">
      <c r="A228" s="86"/>
      <c r="B228" s="81"/>
      <c r="C228" s="81"/>
      <c r="D228" s="81"/>
      <c r="E228" s="81"/>
      <c r="F228" s="81"/>
      <c r="G228" s="81"/>
      <c r="H228" s="81"/>
      <c r="I228" s="81"/>
      <c r="J228" s="81"/>
      <c r="K228" s="81"/>
      <c r="L228" s="81"/>
    </row>
    <row r="229" spans="1:12" ht="35.450000000000003" hidden="1" customHeight="1">
      <c r="A229" s="86"/>
      <c r="B229" s="81"/>
      <c r="C229" s="81"/>
      <c r="D229" s="81"/>
      <c r="E229" s="81"/>
      <c r="F229" s="81"/>
      <c r="G229" s="81"/>
      <c r="H229" s="81"/>
      <c r="I229" s="81"/>
      <c r="J229" s="81"/>
      <c r="K229" s="81"/>
      <c r="L229" s="81"/>
    </row>
    <row r="231" spans="1:12" ht="16.5" customHeight="1">
      <c r="A231" s="6" t="s">
        <v>147</v>
      </c>
    </row>
    <row r="232" spans="1:12" ht="8.65" customHeight="1">
      <c r="A232" s="60" t="s">
        <v>148</v>
      </c>
      <c r="B232" s="85"/>
      <c r="C232" s="85"/>
      <c r="D232" s="85"/>
      <c r="E232" s="85"/>
      <c r="F232" s="85"/>
      <c r="G232" s="85"/>
      <c r="H232" s="85"/>
      <c r="I232" s="85"/>
      <c r="J232" s="85"/>
      <c r="K232" s="85"/>
      <c r="L232" s="85"/>
    </row>
    <row r="233" spans="1:12" ht="8.65" customHeight="1">
      <c r="A233" s="86"/>
      <c r="B233" s="81"/>
      <c r="C233" s="81"/>
      <c r="D233" s="81"/>
      <c r="E233" s="81"/>
      <c r="F233" s="81"/>
      <c r="G233" s="81"/>
      <c r="H233" s="81"/>
      <c r="I233" s="81"/>
      <c r="J233" s="81"/>
      <c r="K233" s="81"/>
      <c r="L233" s="81"/>
    </row>
    <row r="234" spans="1:12" ht="8.65" customHeight="1">
      <c r="A234" s="86"/>
      <c r="B234" s="81"/>
      <c r="C234" s="81"/>
      <c r="D234" s="81"/>
      <c r="E234" s="81"/>
      <c r="F234" s="81"/>
      <c r="G234" s="81"/>
      <c r="H234" s="81"/>
      <c r="I234" s="81"/>
      <c r="J234" s="81"/>
      <c r="K234" s="81"/>
      <c r="L234" s="81"/>
    </row>
    <row r="235" spans="1:12" ht="8.65" customHeight="1">
      <c r="A235" s="86"/>
      <c r="B235" s="81"/>
      <c r="C235" s="81"/>
      <c r="D235" s="81"/>
      <c r="E235" s="81"/>
      <c r="F235" s="81"/>
      <c r="G235" s="81"/>
      <c r="H235" s="81"/>
      <c r="I235" s="81"/>
      <c r="J235" s="81"/>
      <c r="K235" s="81"/>
      <c r="L235" s="81"/>
    </row>
    <row r="236" spans="1:12" ht="8.65" customHeight="1">
      <c r="A236" s="86"/>
      <c r="B236" s="81"/>
      <c r="C236" s="81"/>
      <c r="D236" s="81"/>
      <c r="E236" s="81"/>
      <c r="F236" s="81"/>
      <c r="G236" s="81"/>
      <c r="H236" s="81"/>
      <c r="I236" s="81"/>
      <c r="J236" s="81"/>
      <c r="K236" s="81"/>
      <c r="L236" s="81"/>
    </row>
    <row r="237" spans="1:12" ht="8.65" customHeight="1">
      <c r="A237" s="86"/>
      <c r="B237" s="81"/>
      <c r="C237" s="81"/>
      <c r="D237" s="81"/>
      <c r="E237" s="81"/>
      <c r="F237" s="81"/>
      <c r="G237" s="81"/>
      <c r="H237" s="81"/>
      <c r="I237" s="81"/>
      <c r="J237" s="81"/>
      <c r="K237" s="81"/>
      <c r="L237" s="81"/>
    </row>
    <row r="238" spans="1:12" ht="8.65" customHeight="1">
      <c r="A238" s="86"/>
      <c r="B238" s="81"/>
      <c r="C238" s="81"/>
      <c r="D238" s="81"/>
      <c r="E238" s="81"/>
      <c r="F238" s="81"/>
      <c r="G238" s="81"/>
      <c r="H238" s="81"/>
      <c r="I238" s="81"/>
      <c r="J238" s="81"/>
      <c r="K238" s="81"/>
      <c r="L238" s="81"/>
    </row>
    <row r="239" spans="1:12" ht="8.65" customHeight="1">
      <c r="A239" s="86"/>
      <c r="B239" s="81"/>
      <c r="C239" s="81"/>
      <c r="D239" s="81"/>
      <c r="E239" s="81"/>
      <c r="F239" s="81"/>
      <c r="G239" s="81"/>
      <c r="H239" s="81"/>
      <c r="I239" s="81"/>
      <c r="J239" s="81"/>
      <c r="K239" s="81"/>
      <c r="L239" s="81"/>
    </row>
    <row r="240" spans="1:12" ht="8.65" customHeight="1">
      <c r="A240" s="86"/>
      <c r="B240" s="81"/>
      <c r="C240" s="81"/>
      <c r="D240" s="81"/>
      <c r="E240" s="81"/>
      <c r="F240" s="81"/>
      <c r="G240" s="81"/>
      <c r="H240" s="81"/>
      <c r="I240" s="81"/>
      <c r="J240" s="81"/>
      <c r="K240" s="81"/>
      <c r="L240" s="81"/>
    </row>
    <row r="241" spans="1:12" ht="8.65" customHeight="1">
      <c r="A241" s="86"/>
      <c r="B241" s="81"/>
      <c r="C241" s="81"/>
      <c r="D241" s="81"/>
      <c r="E241" s="81"/>
      <c r="F241" s="81"/>
      <c r="G241" s="81"/>
      <c r="H241" s="81"/>
      <c r="I241" s="81"/>
      <c r="J241" s="81"/>
      <c r="K241" s="81"/>
      <c r="L241" s="81"/>
    </row>
    <row r="242" spans="1:12" ht="8.65" customHeight="1">
      <c r="A242" s="86"/>
      <c r="B242" s="81"/>
      <c r="C242" s="81"/>
      <c r="D242" s="81"/>
      <c r="E242" s="81"/>
      <c r="F242" s="81"/>
      <c r="G242" s="81"/>
      <c r="H242" s="81"/>
      <c r="I242" s="81"/>
      <c r="J242" s="81"/>
      <c r="K242" s="81"/>
      <c r="L242" s="81"/>
    </row>
    <row r="243" spans="1:12" ht="8.65" customHeight="1">
      <c r="A243" s="86"/>
      <c r="B243" s="81"/>
      <c r="C243" s="81"/>
      <c r="D243" s="81"/>
      <c r="E243" s="81"/>
      <c r="F243" s="81"/>
      <c r="G243" s="81"/>
      <c r="H243" s="81"/>
      <c r="I243" s="81"/>
      <c r="J243" s="81"/>
      <c r="K243" s="81"/>
      <c r="L243" s="81"/>
    </row>
    <row r="244" spans="1:12" ht="8.1" customHeight="1">
      <c r="A244" s="86"/>
      <c r="B244" s="81"/>
      <c r="C244" s="81"/>
      <c r="D244" s="81"/>
      <c r="E244" s="81"/>
      <c r="F244" s="81"/>
      <c r="G244" s="81"/>
      <c r="H244" s="81"/>
      <c r="I244" s="81"/>
      <c r="J244" s="81"/>
      <c r="K244" s="81"/>
      <c r="L244" s="81"/>
    </row>
    <row r="245" spans="1:12" ht="8.4499999999999993" hidden="1" customHeight="1">
      <c r="A245" s="86"/>
      <c r="B245" s="81"/>
      <c r="C245" s="81"/>
      <c r="D245" s="81"/>
      <c r="E245" s="81"/>
      <c r="F245" s="81"/>
      <c r="G245" s="81"/>
      <c r="H245" s="81"/>
      <c r="I245" s="81"/>
      <c r="J245" s="81"/>
      <c r="K245" s="81"/>
      <c r="L245" s="81"/>
    </row>
    <row r="246" spans="1:12" ht="8.4499999999999993" hidden="1" customHeight="1">
      <c r="A246" s="86"/>
      <c r="B246" s="81"/>
      <c r="C246" s="81"/>
      <c r="D246" s="81"/>
      <c r="E246" s="81"/>
      <c r="F246" s="81"/>
      <c r="G246" s="81"/>
      <c r="H246" s="81"/>
      <c r="I246" s="81"/>
      <c r="J246" s="81"/>
      <c r="K246" s="81"/>
      <c r="L246" s="81"/>
    </row>
    <row r="247" spans="1:12" ht="8.4499999999999993" hidden="1" customHeight="1">
      <c r="A247" s="86"/>
      <c r="B247" s="81"/>
      <c r="C247" s="81"/>
      <c r="D247" s="81"/>
      <c r="E247" s="81"/>
      <c r="F247" s="81"/>
      <c r="G247" s="81"/>
      <c r="H247" s="81"/>
      <c r="I247" s="81"/>
      <c r="J247" s="81"/>
      <c r="K247" s="81"/>
      <c r="L247" s="81"/>
    </row>
    <row r="248" spans="1:12" ht="8.4499999999999993" hidden="1" customHeight="1">
      <c r="A248" s="86"/>
      <c r="B248" s="81"/>
      <c r="C248" s="81"/>
      <c r="D248" s="81"/>
      <c r="E248" s="81"/>
      <c r="F248" s="81"/>
      <c r="G248" s="81"/>
      <c r="H248" s="81"/>
      <c r="I248" s="81"/>
      <c r="J248" s="81"/>
      <c r="K248" s="81"/>
      <c r="L248" s="81"/>
    </row>
    <row r="249" spans="1:12" ht="29.45" hidden="1" customHeight="1">
      <c r="A249" s="86"/>
      <c r="B249" s="81"/>
      <c r="C249" s="81"/>
      <c r="D249" s="81"/>
      <c r="E249" s="81"/>
      <c r="F249" s="81"/>
      <c r="G249" s="81"/>
      <c r="H249" s="81"/>
      <c r="I249" s="81"/>
      <c r="J249" s="81"/>
      <c r="K249" s="81"/>
      <c r="L249" s="81"/>
    </row>
    <row r="251" spans="1:12" ht="16.5" customHeight="1">
      <c r="A251" s="6" t="s">
        <v>149</v>
      </c>
    </row>
    <row r="252" spans="1:12" ht="8.65" customHeight="1">
      <c r="A252" s="60" t="s">
        <v>150</v>
      </c>
      <c r="B252" s="85"/>
      <c r="C252" s="85"/>
      <c r="D252" s="85"/>
      <c r="E252" s="85"/>
      <c r="F252" s="85"/>
      <c r="G252" s="85"/>
      <c r="H252" s="85"/>
      <c r="I252" s="85"/>
      <c r="J252" s="85"/>
      <c r="K252" s="85"/>
      <c r="L252" s="85"/>
    </row>
    <row r="253" spans="1:12" ht="8.65" customHeight="1">
      <c r="A253" s="86"/>
      <c r="B253" s="81"/>
      <c r="C253" s="81"/>
      <c r="D253" s="81"/>
      <c r="E253" s="81"/>
      <c r="F253" s="81"/>
      <c r="G253" s="81"/>
      <c r="H253" s="81"/>
      <c r="I253" s="81"/>
      <c r="J253" s="81"/>
      <c r="K253" s="81"/>
      <c r="L253" s="81"/>
    </row>
    <row r="254" spans="1:12" ht="8.65" customHeight="1">
      <c r="A254" s="86"/>
      <c r="B254" s="81"/>
      <c r="C254" s="81"/>
      <c r="D254" s="81"/>
      <c r="E254" s="81"/>
      <c r="F254" s="81"/>
      <c r="G254" s="81"/>
      <c r="H254" s="81"/>
      <c r="I254" s="81"/>
      <c r="J254" s="81"/>
      <c r="K254" s="81"/>
      <c r="L254" s="81"/>
    </row>
    <row r="255" spans="1:12" ht="8.65" customHeight="1">
      <c r="A255" s="86"/>
      <c r="B255" s="81"/>
      <c r="C255" s="81"/>
      <c r="D255" s="81"/>
      <c r="E255" s="81"/>
      <c r="F255" s="81"/>
      <c r="G255" s="81"/>
      <c r="H255" s="81"/>
      <c r="I255" s="81"/>
      <c r="J255" s="81"/>
      <c r="K255" s="81"/>
      <c r="L255" s="81"/>
    </row>
    <row r="256" spans="1:12" ht="8.65" customHeight="1">
      <c r="A256" s="86"/>
      <c r="B256" s="81"/>
      <c r="C256" s="81"/>
      <c r="D256" s="81"/>
      <c r="E256" s="81"/>
      <c r="F256" s="81"/>
      <c r="G256" s="81"/>
      <c r="H256" s="81"/>
      <c r="I256" s="81"/>
      <c r="J256" s="81"/>
      <c r="K256" s="81"/>
      <c r="L256" s="81"/>
    </row>
    <row r="257" spans="1:12" ht="8.65" customHeight="1">
      <c r="A257" s="86"/>
      <c r="B257" s="81"/>
      <c r="C257" s="81"/>
      <c r="D257" s="81"/>
      <c r="E257" s="81"/>
      <c r="F257" s="81"/>
      <c r="G257" s="81"/>
      <c r="H257" s="81"/>
      <c r="I257" s="81"/>
      <c r="J257" s="81"/>
      <c r="K257" s="81"/>
      <c r="L257" s="81"/>
    </row>
    <row r="258" spans="1:12" ht="8.65" customHeight="1">
      <c r="A258" s="86"/>
      <c r="B258" s="81"/>
      <c r="C258" s="81"/>
      <c r="D258" s="81"/>
      <c r="E258" s="81"/>
      <c r="F258" s="81"/>
      <c r="G258" s="81"/>
      <c r="H258" s="81"/>
      <c r="I258" s="81"/>
      <c r="J258" s="81"/>
      <c r="K258" s="81"/>
      <c r="L258" s="81"/>
    </row>
    <row r="259" spans="1:12" ht="8.65" customHeight="1">
      <c r="A259" s="86"/>
      <c r="B259" s="81"/>
      <c r="C259" s="81"/>
      <c r="D259" s="81"/>
      <c r="E259" s="81"/>
      <c r="F259" s="81"/>
      <c r="G259" s="81"/>
      <c r="H259" s="81"/>
      <c r="I259" s="81"/>
      <c r="J259" s="81"/>
      <c r="K259" s="81"/>
      <c r="L259" s="81"/>
    </row>
    <row r="260" spans="1:12" ht="8.65" customHeight="1">
      <c r="A260" s="86"/>
      <c r="B260" s="81"/>
      <c r="C260" s="81"/>
      <c r="D260" s="81"/>
      <c r="E260" s="81"/>
      <c r="F260" s="81"/>
      <c r="G260" s="81"/>
      <c r="H260" s="81"/>
      <c r="I260" s="81"/>
      <c r="J260" s="81"/>
      <c r="K260" s="81"/>
      <c r="L260" s="81"/>
    </row>
    <row r="261" spans="1:12" ht="8.65" customHeight="1">
      <c r="A261" s="86"/>
      <c r="B261" s="81"/>
      <c r="C261" s="81"/>
      <c r="D261" s="81"/>
      <c r="E261" s="81"/>
      <c r="F261" s="81"/>
      <c r="G261" s="81"/>
      <c r="H261" s="81"/>
      <c r="I261" s="81"/>
      <c r="J261" s="81"/>
      <c r="K261" s="81"/>
      <c r="L261" s="81"/>
    </row>
    <row r="262" spans="1:12" ht="8.65" customHeight="1">
      <c r="A262" s="86"/>
      <c r="B262" s="81"/>
      <c r="C262" s="81"/>
      <c r="D262" s="81"/>
      <c r="E262" s="81"/>
      <c r="F262" s="81"/>
      <c r="G262" s="81"/>
      <c r="H262" s="81"/>
      <c r="I262" s="81"/>
      <c r="J262" s="81"/>
      <c r="K262" s="81"/>
      <c r="L262" s="81"/>
    </row>
    <row r="263" spans="1:12" ht="8.65" customHeight="1">
      <c r="A263" s="86"/>
      <c r="B263" s="81"/>
      <c r="C263" s="81"/>
      <c r="D263" s="81"/>
      <c r="E263" s="81"/>
      <c r="F263" s="81"/>
      <c r="G263" s="81"/>
      <c r="H263" s="81"/>
      <c r="I263" s="81"/>
      <c r="J263" s="81"/>
      <c r="K263" s="81"/>
      <c r="L263" s="81"/>
    </row>
    <row r="264" spans="1:12" ht="8.4499999999999993" customHeight="1">
      <c r="A264" s="86"/>
      <c r="B264" s="81"/>
      <c r="C264" s="81"/>
      <c r="D264" s="81"/>
      <c r="E264" s="81"/>
      <c r="F264" s="81"/>
      <c r="G264" s="81"/>
      <c r="H264" s="81"/>
      <c r="I264" s="81"/>
      <c r="J264" s="81"/>
      <c r="K264" s="81"/>
      <c r="L264" s="81"/>
    </row>
    <row r="265" spans="1:12" ht="8.4499999999999993" hidden="1" customHeight="1">
      <c r="A265" s="86"/>
      <c r="B265" s="81"/>
      <c r="C265" s="81"/>
      <c r="D265" s="81"/>
      <c r="E265" s="81"/>
      <c r="F265" s="81"/>
      <c r="G265" s="81"/>
      <c r="H265" s="81"/>
      <c r="I265" s="81"/>
      <c r="J265" s="81"/>
      <c r="K265" s="81"/>
      <c r="L265" s="81"/>
    </row>
    <row r="266" spans="1:12" ht="8.4499999999999993" hidden="1" customHeight="1">
      <c r="A266" s="86"/>
      <c r="B266" s="81"/>
      <c r="C266" s="81"/>
      <c r="D266" s="81"/>
      <c r="E266" s="81"/>
      <c r="F266" s="81"/>
      <c r="G266" s="81"/>
      <c r="H266" s="81"/>
      <c r="I266" s="81"/>
      <c r="J266" s="81"/>
      <c r="K266" s="81"/>
      <c r="L266" s="81"/>
    </row>
    <row r="267" spans="1:12" ht="8.4499999999999993" hidden="1" customHeight="1">
      <c r="A267" s="86"/>
      <c r="B267" s="81"/>
      <c r="C267" s="81"/>
      <c r="D267" s="81"/>
      <c r="E267" s="81"/>
      <c r="F267" s="81"/>
      <c r="G267" s="81"/>
      <c r="H267" s="81"/>
      <c r="I267" s="81"/>
      <c r="J267" s="81"/>
      <c r="K267" s="81"/>
      <c r="L267" s="81"/>
    </row>
    <row r="268" spans="1:12" ht="8.4499999999999993" hidden="1" customHeight="1">
      <c r="A268" s="86"/>
      <c r="B268" s="81"/>
      <c r="C268" s="81"/>
      <c r="D268" s="81"/>
      <c r="E268" s="81"/>
      <c r="F268" s="81"/>
      <c r="G268" s="81"/>
      <c r="H268" s="81"/>
      <c r="I268" s="81"/>
      <c r="J268" s="81"/>
      <c r="K268" s="81"/>
      <c r="L268" s="81"/>
    </row>
    <row r="269" spans="1:12" ht="8.4499999999999993" hidden="1" customHeight="1">
      <c r="A269" s="86"/>
      <c r="B269" s="81"/>
      <c r="C269" s="81"/>
      <c r="D269" s="81"/>
      <c r="E269" s="81"/>
      <c r="F269" s="81"/>
      <c r="G269" s="81"/>
      <c r="H269" s="81"/>
      <c r="I269" s="81"/>
      <c r="J269" s="81"/>
      <c r="K269" s="81"/>
      <c r="L269" s="81"/>
    </row>
    <row r="270" spans="1:12" ht="8.4499999999999993" hidden="1" customHeight="1">
      <c r="A270" s="86"/>
      <c r="B270" s="81"/>
      <c r="C270" s="81"/>
      <c r="D270" s="81"/>
      <c r="E270" s="81"/>
      <c r="F270" s="81"/>
      <c r="G270" s="81"/>
      <c r="H270" s="81"/>
      <c r="I270" s="81"/>
      <c r="J270" s="81"/>
      <c r="K270" s="81"/>
      <c r="L270" s="81"/>
    </row>
    <row r="271" spans="1:12" ht="8.4499999999999993" hidden="1" customHeight="1">
      <c r="A271" s="86"/>
      <c r="B271" s="81"/>
      <c r="C271" s="81"/>
      <c r="D271" s="81"/>
      <c r="E271" s="81"/>
      <c r="F271" s="81"/>
      <c r="G271" s="81"/>
      <c r="H271" s="81"/>
      <c r="I271" s="81"/>
      <c r="J271" s="81"/>
      <c r="K271" s="81"/>
      <c r="L271" s="81"/>
    </row>
    <row r="272" spans="1:12" ht="32.1" hidden="1" customHeight="1">
      <c r="A272" s="86"/>
      <c r="B272" s="81"/>
      <c r="C272" s="81"/>
      <c r="D272" s="81"/>
      <c r="E272" s="81"/>
      <c r="F272" s="81"/>
      <c r="G272" s="81"/>
      <c r="H272" s="81"/>
      <c r="I272" s="81"/>
      <c r="J272" s="81"/>
      <c r="K272" s="81"/>
      <c r="L272" s="81"/>
    </row>
    <row r="275" spans="1:12" ht="9.1999999999999993" customHeight="1">
      <c r="A275" s="55" t="s">
        <v>151</v>
      </c>
      <c r="B275" s="81"/>
      <c r="C275" s="81"/>
      <c r="D275" s="81"/>
      <c r="E275" s="81"/>
      <c r="F275" s="81"/>
      <c r="G275" s="81"/>
      <c r="H275" s="81"/>
      <c r="I275" s="81"/>
      <c r="J275" s="81"/>
      <c r="K275" s="81"/>
      <c r="L275" s="81"/>
    </row>
    <row r="276" spans="1:12" ht="9.1999999999999993" customHeight="1">
      <c r="A276" s="81"/>
      <c r="B276" s="81"/>
      <c r="C276" s="81"/>
      <c r="D276" s="81"/>
      <c r="E276" s="81"/>
      <c r="F276" s="81"/>
      <c r="G276" s="81"/>
      <c r="H276" s="81"/>
      <c r="I276" s="81"/>
      <c r="J276" s="81"/>
      <c r="K276" s="81"/>
      <c r="L276" s="81"/>
    </row>
    <row r="277" spans="1:12" ht="9.1999999999999993" customHeight="1">
      <c r="A277" s="81"/>
      <c r="B277" s="81"/>
      <c r="C277" s="81"/>
      <c r="D277" s="81"/>
      <c r="E277" s="81"/>
      <c r="F277" s="81"/>
      <c r="G277" s="81"/>
      <c r="H277" s="81"/>
      <c r="I277" s="81"/>
      <c r="J277" s="81"/>
      <c r="K277" s="81"/>
      <c r="L277" s="81"/>
    </row>
    <row r="278" spans="1:12" ht="9.1999999999999993" customHeight="1">
      <c r="A278" s="81"/>
      <c r="B278" s="81"/>
      <c r="C278" s="81"/>
      <c r="D278" s="81"/>
      <c r="E278" s="81"/>
      <c r="F278" s="81"/>
      <c r="G278" s="81"/>
      <c r="H278" s="81"/>
      <c r="I278" s="81"/>
      <c r="J278" s="81"/>
      <c r="K278" s="81"/>
      <c r="L278" s="81"/>
    </row>
    <row r="279" spans="1:12" ht="9.1999999999999993" customHeight="1">
      <c r="A279" s="81"/>
      <c r="B279" s="81"/>
      <c r="C279" s="81"/>
      <c r="D279" s="81"/>
      <c r="E279" s="81"/>
      <c r="F279" s="81"/>
      <c r="G279" s="81"/>
      <c r="H279" s="81"/>
      <c r="I279" s="81"/>
      <c r="J279" s="81"/>
      <c r="K279" s="81"/>
      <c r="L279" s="81"/>
    </row>
    <row r="280" spans="1:12" ht="9.1999999999999993" customHeight="1">
      <c r="A280" s="81"/>
      <c r="B280" s="81"/>
      <c r="C280" s="81"/>
      <c r="D280" s="81"/>
      <c r="E280" s="81"/>
      <c r="F280" s="81"/>
      <c r="G280" s="81"/>
      <c r="H280" s="81"/>
      <c r="I280" s="81"/>
      <c r="J280" s="81"/>
      <c r="K280" s="81"/>
      <c r="L280" s="81"/>
    </row>
    <row r="281" spans="1:12" ht="9.1999999999999993" customHeight="1">
      <c r="A281" s="81"/>
      <c r="B281" s="81"/>
      <c r="C281" s="81"/>
      <c r="D281" s="81"/>
      <c r="E281" s="81"/>
      <c r="F281" s="81"/>
      <c r="G281" s="81"/>
      <c r="H281" s="81"/>
      <c r="I281" s="81"/>
      <c r="J281" s="81"/>
      <c r="K281" s="81"/>
      <c r="L281" s="81"/>
    </row>
    <row r="282" spans="1:12" ht="9.1999999999999993" customHeight="1">
      <c r="A282" s="81"/>
      <c r="B282" s="81"/>
      <c r="C282" s="81"/>
      <c r="D282" s="81"/>
      <c r="E282" s="81"/>
      <c r="F282" s="81"/>
      <c r="G282" s="81"/>
      <c r="H282" s="81"/>
      <c r="I282" s="81"/>
      <c r="J282" s="81"/>
      <c r="K282" s="81"/>
      <c r="L282" s="81"/>
    </row>
    <row r="283" spans="1:12" ht="9.1999999999999993" customHeight="1">
      <c r="A283" s="81"/>
      <c r="B283" s="81"/>
      <c r="C283" s="81"/>
      <c r="D283" s="81"/>
      <c r="E283" s="81"/>
      <c r="F283" s="81"/>
      <c r="G283" s="81"/>
      <c r="H283" s="81"/>
      <c r="I283" s="81"/>
      <c r="J283" s="81"/>
      <c r="K283" s="81"/>
      <c r="L283" s="81"/>
    </row>
    <row r="284" spans="1:12" ht="9.1999999999999993" customHeight="1">
      <c r="A284" s="81"/>
      <c r="B284" s="81"/>
      <c r="C284" s="81"/>
      <c r="D284" s="81"/>
      <c r="E284" s="81"/>
      <c r="F284" s="81"/>
      <c r="G284" s="81"/>
      <c r="H284" s="81"/>
      <c r="I284" s="81"/>
      <c r="J284" s="81"/>
      <c r="K284" s="81"/>
      <c r="L284" s="81"/>
    </row>
    <row r="285" spans="1:12" ht="9.1999999999999993" customHeight="1">
      <c r="A285" s="81"/>
      <c r="B285" s="81"/>
      <c r="C285" s="81"/>
      <c r="D285" s="81"/>
      <c r="E285" s="81"/>
      <c r="F285" s="81"/>
      <c r="G285" s="81"/>
      <c r="H285" s="81"/>
      <c r="I285" s="81"/>
      <c r="J285" s="81"/>
      <c r="K285" s="81"/>
      <c r="L285" s="81"/>
    </row>
    <row r="286" spans="1:12" ht="9.1999999999999993" customHeight="1">
      <c r="A286" s="81"/>
      <c r="B286" s="81"/>
      <c r="C286" s="81"/>
      <c r="D286" s="81"/>
      <c r="E286" s="81"/>
      <c r="F286" s="81"/>
      <c r="G286" s="81"/>
      <c r="H286" s="81"/>
      <c r="I286" s="81"/>
      <c r="J286" s="81"/>
      <c r="K286" s="81"/>
      <c r="L286" s="81"/>
    </row>
    <row r="287" spans="1:12" ht="9.1999999999999993" customHeight="1">
      <c r="A287" s="81"/>
      <c r="B287" s="81"/>
      <c r="C287" s="81"/>
      <c r="D287" s="81"/>
      <c r="E287" s="81"/>
      <c r="F287" s="81"/>
      <c r="G287" s="81"/>
      <c r="H287" s="81"/>
      <c r="I287" s="81"/>
      <c r="J287" s="81"/>
      <c r="K287" s="81"/>
      <c r="L287" s="81"/>
    </row>
    <row r="288" spans="1:12" ht="9.1999999999999993" customHeight="1">
      <c r="A288" s="81"/>
      <c r="B288" s="81"/>
      <c r="C288" s="81"/>
      <c r="D288" s="81"/>
      <c r="E288" s="81"/>
      <c r="F288" s="81"/>
      <c r="G288" s="81"/>
      <c r="H288" s="81"/>
      <c r="I288" s="81"/>
      <c r="J288" s="81"/>
      <c r="K288" s="81"/>
      <c r="L288" s="81"/>
    </row>
    <row r="289" spans="1:12" ht="9.1999999999999993" customHeight="1">
      <c r="A289" s="81"/>
      <c r="B289" s="81"/>
      <c r="C289" s="81"/>
      <c r="D289" s="81"/>
      <c r="E289" s="81"/>
      <c r="F289" s="81"/>
      <c r="G289" s="81"/>
      <c r="H289" s="81"/>
      <c r="I289" s="81"/>
      <c r="J289" s="81"/>
      <c r="K289" s="81"/>
      <c r="L289" s="81"/>
    </row>
    <row r="290" spans="1:12" ht="9.1999999999999993" customHeight="1">
      <c r="A290" s="81"/>
      <c r="B290" s="81"/>
      <c r="C290" s="81"/>
      <c r="D290" s="81"/>
      <c r="E290" s="81"/>
      <c r="F290" s="81"/>
      <c r="G290" s="81"/>
      <c r="H290" s="81"/>
      <c r="I290" s="81"/>
      <c r="J290" s="81"/>
      <c r="K290" s="81"/>
      <c r="L290" s="81"/>
    </row>
    <row r="291" spans="1:12" ht="9.1999999999999993" customHeight="1">
      <c r="A291" s="81"/>
      <c r="B291" s="81"/>
      <c r="C291" s="81"/>
      <c r="D291" s="81"/>
      <c r="E291" s="81"/>
      <c r="F291" s="81"/>
      <c r="G291" s="81"/>
      <c r="H291" s="81"/>
      <c r="I291" s="81"/>
      <c r="J291" s="81"/>
      <c r="K291" s="81"/>
      <c r="L291" s="81"/>
    </row>
    <row r="292" spans="1:12" ht="9.1999999999999993" customHeight="1">
      <c r="A292" s="81"/>
      <c r="B292" s="81"/>
      <c r="C292" s="81"/>
      <c r="D292" s="81"/>
      <c r="E292" s="81"/>
      <c r="F292" s="81"/>
      <c r="G292" s="81"/>
      <c r="H292" s="81"/>
      <c r="I292" s="81"/>
      <c r="J292" s="81"/>
      <c r="K292" s="81"/>
      <c r="L292" s="81"/>
    </row>
    <row r="293" spans="1:12" ht="9.1999999999999993" customHeight="1">
      <c r="A293" s="81"/>
      <c r="B293" s="81"/>
      <c r="C293" s="81"/>
      <c r="D293" s="81"/>
      <c r="E293" s="81"/>
      <c r="F293" s="81"/>
      <c r="G293" s="81"/>
      <c r="H293" s="81"/>
      <c r="I293" s="81"/>
      <c r="J293" s="81"/>
      <c r="K293" s="81"/>
      <c r="L293" s="81"/>
    </row>
    <row r="294" spans="1:12" ht="9.1999999999999993" customHeight="1">
      <c r="A294" s="81"/>
      <c r="B294" s="81"/>
      <c r="C294" s="81"/>
      <c r="D294" s="81"/>
      <c r="E294" s="81"/>
      <c r="F294" s="81"/>
      <c r="G294" s="81"/>
      <c r="H294" s="81"/>
      <c r="I294" s="81"/>
      <c r="J294" s="81"/>
      <c r="K294" s="81"/>
      <c r="L294" s="81"/>
    </row>
    <row r="295" spans="1:12" ht="9.1999999999999993" customHeight="1">
      <c r="A295" s="81"/>
      <c r="B295" s="81"/>
      <c r="C295" s="81"/>
      <c r="D295" s="81"/>
      <c r="E295" s="81"/>
      <c r="F295" s="81"/>
      <c r="G295" s="81"/>
      <c r="H295" s="81"/>
      <c r="I295" s="81"/>
      <c r="J295" s="81"/>
      <c r="K295" s="81"/>
      <c r="L295" s="81"/>
    </row>
    <row r="296" spans="1:12" ht="9.1999999999999993" customHeight="1">
      <c r="A296" s="81"/>
      <c r="B296" s="81"/>
      <c r="C296" s="81"/>
      <c r="D296" s="81"/>
      <c r="E296" s="81"/>
      <c r="F296" s="81"/>
      <c r="G296" s="81"/>
      <c r="H296" s="81"/>
      <c r="I296" s="81"/>
      <c r="J296" s="81"/>
      <c r="K296" s="81"/>
      <c r="L296" s="81"/>
    </row>
    <row r="297" spans="1:12" ht="9.1999999999999993" customHeight="1">
      <c r="A297" s="81"/>
      <c r="B297" s="81"/>
      <c r="C297" s="81"/>
      <c r="D297" s="81"/>
      <c r="E297" s="81"/>
      <c r="F297" s="81"/>
      <c r="G297" s="81"/>
      <c r="H297" s="81"/>
      <c r="I297" s="81"/>
      <c r="J297" s="81"/>
      <c r="K297" s="81"/>
      <c r="L297" s="81"/>
    </row>
    <row r="298" spans="1:12" ht="9.1999999999999993" customHeight="1">
      <c r="A298" s="81"/>
      <c r="B298" s="81"/>
      <c r="C298" s="81"/>
      <c r="D298" s="81"/>
      <c r="E298" s="81"/>
      <c r="F298" s="81"/>
      <c r="G298" s="81"/>
      <c r="H298" s="81"/>
      <c r="I298" s="81"/>
      <c r="J298" s="81"/>
      <c r="K298" s="81"/>
      <c r="L298" s="81"/>
    </row>
    <row r="299" spans="1:12" ht="9.1999999999999993" customHeight="1">
      <c r="A299" s="81"/>
      <c r="B299" s="81"/>
      <c r="C299" s="81"/>
      <c r="D299" s="81"/>
      <c r="E299" s="81"/>
      <c r="F299" s="81"/>
      <c r="G299" s="81"/>
      <c r="H299" s="81"/>
      <c r="I299" s="81"/>
      <c r="J299" s="81"/>
      <c r="K299" s="81"/>
      <c r="L299" s="81"/>
    </row>
    <row r="300" spans="1:12" ht="9.1999999999999993" customHeight="1">
      <c r="A300" s="81"/>
      <c r="B300" s="81"/>
      <c r="C300" s="81"/>
      <c r="D300" s="81"/>
      <c r="E300" s="81"/>
      <c r="F300" s="81"/>
      <c r="G300" s="81"/>
      <c r="H300" s="81"/>
      <c r="I300" s="81"/>
      <c r="J300" s="81"/>
      <c r="K300" s="81"/>
      <c r="L300" s="81"/>
    </row>
    <row r="301" spans="1:12" ht="9.1999999999999993" customHeight="1">
      <c r="A301" s="81"/>
      <c r="B301" s="81"/>
      <c r="C301" s="81"/>
      <c r="D301" s="81"/>
      <c r="E301" s="81"/>
      <c r="F301" s="81"/>
      <c r="G301" s="81"/>
      <c r="H301" s="81"/>
      <c r="I301" s="81"/>
      <c r="J301" s="81"/>
      <c r="K301" s="81"/>
      <c r="L301" s="81"/>
    </row>
    <row r="302" spans="1:12" ht="9.1999999999999993" customHeight="1">
      <c r="A302" s="81"/>
      <c r="B302" s="81"/>
      <c r="C302" s="81"/>
      <c r="D302" s="81"/>
      <c r="E302" s="81"/>
      <c r="F302" s="81"/>
      <c r="G302" s="81"/>
      <c r="H302" s="81"/>
      <c r="I302" s="81"/>
      <c r="J302" s="81"/>
      <c r="K302" s="81"/>
      <c r="L302" s="81"/>
    </row>
    <row r="303" spans="1:12" ht="9.1999999999999993" customHeight="1">
      <c r="A303" s="81"/>
      <c r="B303" s="81"/>
      <c r="C303" s="81"/>
      <c r="D303" s="81"/>
      <c r="E303" s="81"/>
      <c r="F303" s="81"/>
      <c r="G303" s="81"/>
      <c r="H303" s="81"/>
      <c r="I303" s="81"/>
      <c r="J303" s="81"/>
      <c r="K303" s="81"/>
      <c r="L303" s="81"/>
    </row>
    <row r="304" spans="1:12" ht="9.1999999999999993" customHeight="1">
      <c r="A304" s="81"/>
      <c r="B304" s="81"/>
      <c r="C304" s="81"/>
      <c r="D304" s="81"/>
      <c r="E304" s="81"/>
      <c r="F304" s="81"/>
      <c r="G304" s="81"/>
      <c r="H304" s="81"/>
      <c r="I304" s="81"/>
      <c r="J304" s="81"/>
      <c r="K304" s="81"/>
      <c r="L304" s="81"/>
    </row>
    <row r="305" spans="1:12" ht="9.1999999999999993" customHeight="1">
      <c r="A305" s="81"/>
      <c r="B305" s="81"/>
      <c r="C305" s="81"/>
      <c r="D305" s="81"/>
      <c r="E305" s="81"/>
      <c r="F305" s="81"/>
      <c r="G305" s="81"/>
      <c r="H305" s="81"/>
      <c r="I305" s="81"/>
      <c r="J305" s="81"/>
      <c r="K305" s="81"/>
      <c r="L305" s="81"/>
    </row>
    <row r="306" spans="1:12" ht="9.1999999999999993" customHeight="1">
      <c r="A306" s="81"/>
      <c r="B306" s="81"/>
      <c r="C306" s="81"/>
      <c r="D306" s="81"/>
      <c r="E306" s="81"/>
      <c r="F306" s="81"/>
      <c r="G306" s="81"/>
      <c r="H306" s="81"/>
      <c r="I306" s="81"/>
      <c r="J306" s="81"/>
      <c r="K306" s="81"/>
      <c r="L306" s="81"/>
    </row>
    <row r="307" spans="1:12" ht="9.1999999999999993" customHeight="1">
      <c r="A307" s="81"/>
      <c r="B307" s="81"/>
      <c r="C307" s="81"/>
      <c r="D307" s="81"/>
      <c r="E307" s="81"/>
      <c r="F307" s="81"/>
      <c r="G307" s="81"/>
      <c r="H307" s="81"/>
      <c r="I307" s="81"/>
      <c r="J307" s="81"/>
      <c r="K307" s="81"/>
      <c r="L307" s="81"/>
    </row>
    <row r="308" spans="1:12" ht="9.1999999999999993" customHeight="1">
      <c r="A308" s="81"/>
      <c r="B308" s="81"/>
      <c r="C308" s="81"/>
      <c r="D308" s="81"/>
      <c r="E308" s="81"/>
      <c r="F308" s="81"/>
      <c r="G308" s="81"/>
      <c r="H308" s="81"/>
      <c r="I308" s="81"/>
      <c r="J308" s="81"/>
      <c r="K308" s="81"/>
      <c r="L308" s="81"/>
    </row>
    <row r="309" spans="1:12" ht="9.1999999999999993" customHeight="1">
      <c r="A309" s="81"/>
      <c r="B309" s="81"/>
      <c r="C309" s="81"/>
      <c r="D309" s="81"/>
      <c r="E309" s="81"/>
      <c r="F309" s="81"/>
      <c r="G309" s="81"/>
      <c r="H309" s="81"/>
      <c r="I309" s="81"/>
      <c r="J309" s="81"/>
      <c r="K309" s="81"/>
      <c r="L309" s="81"/>
    </row>
    <row r="310" spans="1:12" ht="9.1999999999999993" customHeight="1">
      <c r="A310" s="81"/>
      <c r="B310" s="81"/>
      <c r="C310" s="81"/>
      <c r="D310" s="81"/>
      <c r="E310" s="81"/>
      <c r="F310" s="81"/>
      <c r="G310" s="81"/>
      <c r="H310" s="81"/>
      <c r="I310" s="81"/>
      <c r="J310" s="81"/>
      <c r="K310" s="81"/>
      <c r="L310" s="81"/>
    </row>
    <row r="311" spans="1:12" ht="9.1999999999999993" customHeight="1">
      <c r="A311" s="81"/>
      <c r="B311" s="81"/>
      <c r="C311" s="81"/>
      <c r="D311" s="81"/>
      <c r="E311" s="81"/>
      <c r="F311" s="81"/>
      <c r="G311" s="81"/>
      <c r="H311" s="81"/>
      <c r="I311" s="81"/>
      <c r="J311" s="81"/>
      <c r="K311" s="81"/>
      <c r="L311" s="81"/>
    </row>
    <row r="312" spans="1:12" ht="8.4499999999999993" customHeight="1">
      <c r="A312" s="81"/>
      <c r="B312" s="81"/>
      <c r="C312" s="81"/>
      <c r="D312" s="81"/>
      <c r="E312" s="81"/>
      <c r="F312" s="81"/>
      <c r="G312" s="81"/>
      <c r="H312" s="81"/>
      <c r="I312" s="81"/>
      <c r="J312" s="81"/>
      <c r="K312" s="81"/>
      <c r="L312" s="81"/>
    </row>
    <row r="313" spans="1:12" ht="9" hidden="1" customHeight="1">
      <c r="A313" s="81"/>
      <c r="B313" s="81"/>
      <c r="C313" s="81"/>
      <c r="D313" s="81"/>
      <c r="E313" s="81"/>
      <c r="F313" s="81"/>
      <c r="G313" s="81"/>
      <c r="H313" s="81"/>
      <c r="I313" s="81"/>
      <c r="J313" s="81"/>
      <c r="K313" s="81"/>
      <c r="L313" s="81"/>
    </row>
    <row r="314" spans="1:12" ht="9" hidden="1" customHeight="1">
      <c r="A314" s="81"/>
      <c r="B314" s="81"/>
      <c r="C314" s="81"/>
      <c r="D314" s="81"/>
      <c r="E314" s="81"/>
      <c r="F314" s="81"/>
      <c r="G314" s="81"/>
      <c r="H314" s="81"/>
      <c r="I314" s="81"/>
      <c r="J314" s="81"/>
      <c r="K314" s="81"/>
      <c r="L314" s="81"/>
    </row>
    <row r="315" spans="1:12" ht="9" hidden="1" customHeight="1">
      <c r="A315" s="81"/>
      <c r="B315" s="81"/>
      <c r="C315" s="81"/>
      <c r="D315" s="81"/>
      <c r="E315" s="81"/>
      <c r="F315" s="81"/>
      <c r="G315" s="81"/>
      <c r="H315" s="81"/>
      <c r="I315" s="81"/>
      <c r="J315" s="81"/>
      <c r="K315" s="81"/>
      <c r="L315" s="81"/>
    </row>
    <row r="316" spans="1:12" ht="9" hidden="1" customHeight="1">
      <c r="A316" s="81"/>
      <c r="B316" s="81"/>
      <c r="C316" s="81"/>
      <c r="D316" s="81"/>
      <c r="E316" s="81"/>
      <c r="F316" s="81"/>
      <c r="G316" s="81"/>
      <c r="H316" s="81"/>
      <c r="I316" s="81"/>
      <c r="J316" s="81"/>
      <c r="K316" s="81"/>
      <c r="L316" s="81"/>
    </row>
    <row r="317" spans="1:12" ht="9" hidden="1" customHeight="1">
      <c r="A317" s="81"/>
      <c r="B317" s="81"/>
      <c r="C317" s="81"/>
      <c r="D317" s="81"/>
      <c r="E317" s="81"/>
      <c r="F317" s="81"/>
      <c r="G317" s="81"/>
      <c r="H317" s="81"/>
      <c r="I317" s="81"/>
      <c r="J317" s="81"/>
      <c r="K317" s="81"/>
      <c r="L317" s="81"/>
    </row>
    <row r="318" spans="1:12" ht="9" hidden="1" customHeight="1">
      <c r="A318" s="81"/>
      <c r="B318" s="81"/>
      <c r="C318" s="81"/>
      <c r="D318" s="81"/>
      <c r="E318" s="81"/>
      <c r="F318" s="81"/>
      <c r="G318" s="81"/>
      <c r="H318" s="81"/>
      <c r="I318" s="81"/>
      <c r="J318" s="81"/>
      <c r="K318" s="81"/>
      <c r="L318" s="81"/>
    </row>
    <row r="319" spans="1:12" ht="9" hidden="1" customHeight="1">
      <c r="A319" s="81"/>
      <c r="B319" s="81"/>
      <c r="C319" s="81"/>
      <c r="D319" s="81"/>
      <c r="E319" s="81"/>
      <c r="F319" s="81"/>
      <c r="G319" s="81"/>
      <c r="H319" s="81"/>
      <c r="I319" s="81"/>
      <c r="J319" s="81"/>
      <c r="K319" s="81"/>
      <c r="L319" s="81"/>
    </row>
    <row r="320" spans="1:12" ht="9" hidden="1" customHeight="1">
      <c r="A320" s="81"/>
      <c r="B320" s="81"/>
      <c r="C320" s="81"/>
      <c r="D320" s="81"/>
      <c r="E320" s="81"/>
      <c r="F320" s="81"/>
      <c r="G320" s="81"/>
      <c r="H320" s="81"/>
      <c r="I320" s="81"/>
      <c r="J320" s="81"/>
      <c r="K320" s="81"/>
      <c r="L320" s="81"/>
    </row>
    <row r="321" spans="1:12" ht="9" hidden="1" customHeight="1">
      <c r="A321" s="81"/>
      <c r="B321" s="81"/>
      <c r="C321" s="81"/>
      <c r="D321" s="81"/>
      <c r="E321" s="81"/>
      <c r="F321" s="81"/>
      <c r="G321" s="81"/>
      <c r="H321" s="81"/>
      <c r="I321" s="81"/>
      <c r="J321" s="81"/>
      <c r="K321" s="81"/>
      <c r="L321" s="81"/>
    </row>
    <row r="322" spans="1:12" ht="9" hidden="1" customHeight="1">
      <c r="A322" s="81"/>
      <c r="B322" s="81"/>
      <c r="C322" s="81"/>
      <c r="D322" s="81"/>
      <c r="E322" s="81"/>
      <c r="F322" s="81"/>
      <c r="G322" s="81"/>
      <c r="H322" s="81"/>
      <c r="I322" s="81"/>
      <c r="J322" s="81"/>
      <c r="K322" s="81"/>
      <c r="L322" s="81"/>
    </row>
    <row r="323" spans="1:12" ht="9" customHeight="1"/>
    <row r="324" spans="1:12" ht="21.95" customHeight="1">
      <c r="A324" s="56" t="s">
        <v>152</v>
      </c>
      <c r="B324" s="81"/>
      <c r="C324" s="81"/>
      <c r="D324" s="81"/>
      <c r="E324" s="81"/>
      <c r="F324" s="81"/>
      <c r="G324" s="81"/>
      <c r="H324" s="81"/>
      <c r="I324" s="81"/>
      <c r="J324" s="81"/>
      <c r="K324" s="81"/>
      <c r="L324" s="81"/>
    </row>
    <row r="325" spans="1:12" ht="68.25" customHeight="1">
      <c r="A325" s="61" t="s">
        <v>153</v>
      </c>
      <c r="B325" s="81"/>
      <c r="C325" s="81"/>
      <c r="D325" s="81"/>
      <c r="E325" s="81"/>
      <c r="F325" s="81"/>
      <c r="G325" s="81"/>
      <c r="H325" s="81"/>
      <c r="I325" s="81"/>
      <c r="J325" s="81"/>
      <c r="K325" s="81"/>
      <c r="L325" s="81"/>
    </row>
    <row r="327" spans="1:12" ht="63.6" customHeight="1">
      <c r="A327" s="55" t="s">
        <v>154</v>
      </c>
      <c r="B327" s="81"/>
      <c r="C327" s="81"/>
      <c r="D327" s="81"/>
      <c r="E327" s="81"/>
      <c r="F327" s="81"/>
      <c r="G327" s="81"/>
      <c r="H327" s="81"/>
      <c r="I327" s="81"/>
      <c r="J327" s="81"/>
      <c r="K327" s="81"/>
      <c r="L327" s="81"/>
    </row>
    <row r="328" spans="1:12" ht="9" customHeight="1"/>
    <row r="329" spans="1:12" ht="21.95" customHeight="1">
      <c r="A329" s="56" t="s">
        <v>155</v>
      </c>
      <c r="B329" s="81"/>
      <c r="C329" s="81"/>
      <c r="D329" s="81"/>
      <c r="E329" s="81"/>
      <c r="F329" s="81"/>
      <c r="G329" s="81"/>
      <c r="H329" s="81"/>
      <c r="I329" s="81"/>
      <c r="J329" s="81"/>
      <c r="K329" s="81"/>
      <c r="L329" s="81"/>
    </row>
    <row r="330" spans="1:12" ht="83.45" customHeight="1">
      <c r="A330" s="61" t="s">
        <v>156</v>
      </c>
      <c r="B330" s="81"/>
      <c r="C330" s="81"/>
      <c r="D330" s="81"/>
      <c r="E330" s="81"/>
      <c r="F330" s="81"/>
      <c r="G330" s="81"/>
      <c r="H330" s="81"/>
      <c r="I330" s="81"/>
      <c r="J330" s="81"/>
      <c r="K330" s="81"/>
      <c r="L330" s="81"/>
    </row>
    <row r="331" spans="1:12" ht="9" customHeight="1"/>
    <row r="332" spans="1:12" ht="41.45" customHeight="1">
      <c r="A332" s="59" t="s">
        <v>157</v>
      </c>
      <c r="B332" s="81"/>
      <c r="C332" s="81"/>
      <c r="D332" s="81"/>
      <c r="E332" s="81"/>
      <c r="F332" s="81"/>
      <c r="G332" s="81"/>
      <c r="H332" s="81"/>
      <c r="I332" s="81"/>
      <c r="J332" s="81"/>
      <c r="K332" s="81"/>
      <c r="L332" s="81"/>
    </row>
    <row r="333" spans="1:12" ht="36.6" customHeight="1">
      <c r="A333" s="2" t="s">
        <v>158</v>
      </c>
      <c r="C333" s="4" t="s">
        <v>28</v>
      </c>
      <c r="D333" s="4" t="s">
        <v>29</v>
      </c>
      <c r="E333" s="4" t="s">
        <v>159</v>
      </c>
    </row>
    <row r="334" spans="1:12">
      <c r="A334" s="2" t="s">
        <v>61</v>
      </c>
      <c r="C334" s="11">
        <f>'Industry Summary'!B18/'Industry Summary'!B22</f>
        <v>2.0817218596406413</v>
      </c>
      <c r="D334" s="11">
        <f>'Industry Summary'!D18/'Industry Summary'!D22</f>
        <v>2.1849998366096979</v>
      </c>
      <c r="E334" s="11">
        <f>ABS(C334-C45)+ABS(D334-E45)</f>
        <v>0</v>
      </c>
    </row>
    <row r="335" spans="1:12">
      <c r="A335" s="2" t="s">
        <v>63</v>
      </c>
      <c r="C335" s="11">
        <f>('Industry Summary'!B18-'Industry Summary'!B13)/'Industry Summary'!B22</f>
        <v>0.97051003142373715</v>
      </c>
      <c r="D335" s="11">
        <f>('Industry Summary'!D18-'Industry Summary'!D13)/'Industry Summary'!D22</f>
        <v>1.1460242471208295</v>
      </c>
      <c r="E335" s="11">
        <f>ABS(C335-C46)+ABS(D335-E46)</f>
        <v>0</v>
      </c>
    </row>
    <row r="336" spans="1:12">
      <c r="A336" s="2" t="s">
        <v>65</v>
      </c>
      <c r="C336" s="11">
        <f>('Industry Summary'!B15+'Industry Summary'!B16)/'Industry Summary'!B22</f>
        <v>0.18423676577229878</v>
      </c>
      <c r="D336" s="11">
        <f>('Industry Summary'!D15+'Industry Summary'!D16)/'Industry Summary'!D22</f>
        <v>9.6610351475881248E-2</v>
      </c>
      <c r="E336" s="11">
        <f>ABS(C336-C47)+ABS(D336-E47)</f>
        <v>0</v>
      </c>
    </row>
    <row r="337" spans="1:12">
      <c r="A337" s="2" t="s">
        <v>73</v>
      </c>
      <c r="C337" s="12">
        <f>'Industry Summary'!B30/'Industry Summary'!B26</f>
        <v>0.10595699571845235</v>
      </c>
      <c r="D337" s="12">
        <f>'Industry Summary'!D30/'Industry Summary'!D26</f>
        <v>0.10514870298749533</v>
      </c>
      <c r="E337" s="12">
        <f>ABS(C337-C58)+ABS(D337-E58)</f>
        <v>0</v>
      </c>
    </row>
    <row r="338" spans="1:12">
      <c r="A338" s="2" t="s">
        <v>75</v>
      </c>
      <c r="C338" s="12">
        <f>'Industry Summary'!B30/AVERAGE('Industry Summary'!B39,'Industry Summary'!B25)</f>
        <v>0.13675445816360657</v>
      </c>
      <c r="D338" s="12">
        <f>'Industry Summary'!D30/AVERAGE('Industry Summary'!B25,'Industry Summary'!D25)</f>
        <v>0.12797740544575015</v>
      </c>
      <c r="E338" s="12">
        <f>ABS(C338-C59)+ABS(D338-E59)</f>
        <v>0</v>
      </c>
    </row>
    <row r="339" spans="1:12">
      <c r="A339" s="2" t="s">
        <v>77</v>
      </c>
      <c r="C339" s="12">
        <f>'Industry Summary'!B30/AVERAGE('Industry Summary'!B38,'Industry Summary'!B24)</f>
        <v>0.20166006943469678</v>
      </c>
      <c r="D339" s="12">
        <f>'Industry Summary'!D30/AVERAGE('Industry Summary'!B24,'Industry Summary'!D24)</f>
        <v>0.18224611525653781</v>
      </c>
      <c r="E339" s="12">
        <f>ABS(C339-C60)+ABS(D339-E60)</f>
        <v>0</v>
      </c>
    </row>
    <row r="340" spans="1:12">
      <c r="A340" s="2" t="s">
        <v>68</v>
      </c>
      <c r="C340" s="11">
        <f>'Industry Summary'!B23/'Industry Summary'!B24</f>
        <v>6.8649160543982987E-5</v>
      </c>
      <c r="D340" s="11">
        <f>'Industry Summary'!D23/'Industry Summary'!D24</f>
        <v>0</v>
      </c>
      <c r="E340" s="11">
        <f>ABS(C340-C52)+ABS(D340-E52)</f>
        <v>0</v>
      </c>
    </row>
    <row r="341" spans="1:12">
      <c r="A341" s="2" t="s">
        <v>70</v>
      </c>
      <c r="C341" s="11">
        <f>('Industry Summary'!B23+'Industry Summary'!B33)/'Industry Summary'!B24</f>
        <v>8.6689807887964571E-2</v>
      </c>
      <c r="D341" s="11">
        <f>('Industry Summary'!D23+'Industry Summary'!D33)/'Industry Summary'!D24</f>
        <v>7.2323385202352236E-2</v>
      </c>
      <c r="E341" s="11">
        <f>ABS(C341-C53)+ABS(D341-E53)</f>
        <v>0</v>
      </c>
    </row>
    <row r="342" spans="1:12">
      <c r="A342" s="2" t="s">
        <v>80</v>
      </c>
      <c r="C342" s="11">
        <f>'Industry Summary'!B27/AVERAGE('Industry Summary'!B37,'Industry Summary'!B13)</f>
        <v>2.4859217752831855</v>
      </c>
      <c r="D342" s="11">
        <f>'Industry Summary'!D27/AVERAGE('Industry Summary'!B13,'Industry Summary'!D13)</f>
        <v>2.3567528541130818</v>
      </c>
      <c r="E342" s="11">
        <f>ABS(C342-C65)+ABS(D342-E65)</f>
        <v>0</v>
      </c>
    </row>
    <row r="343" spans="1:12">
      <c r="A343" s="10" t="s">
        <v>101</v>
      </c>
      <c r="C343" s="11">
        <f>'Industry Summary'!B26/AVERAGE('Industry Summary'!B39,'Industry Summary'!B25)</f>
        <v>1.2906600195327249</v>
      </c>
      <c r="D343" s="11">
        <f>'Industry Summary'!D26/AVERAGE('Industry Summary'!B25,'Industry Summary'!D25)</f>
        <v>1.2171087403804657</v>
      </c>
      <c r="E343" s="11">
        <f>ABS(C343-C95)+ABS(D343-E95)</f>
        <v>0</v>
      </c>
    </row>
    <row r="344" spans="1:12">
      <c r="A344" s="10" t="s">
        <v>103</v>
      </c>
      <c r="C344" s="11">
        <f>AVERAGE('Industry Summary'!B39,'Industry Summary'!B25)/AVERAGE('Industry Summary'!B38,'Industry Summary'!B24)</f>
        <v>1.4746142256908379</v>
      </c>
      <c r="D344" s="11">
        <f>AVERAGE('Industry Summary'!B25,'Industry Summary'!D25)/AVERAGE('Industry Summary'!B24,'Industry Summary'!D24)</f>
        <v>1.4240491485334283</v>
      </c>
      <c r="E344" s="11">
        <f>ABS(C344-C96)+ABS(D344-E96)</f>
        <v>0</v>
      </c>
    </row>
    <row r="345" spans="1:12">
      <c r="A345" s="2" t="s">
        <v>93</v>
      </c>
      <c r="C345" s="12">
        <f>('Industry Summary'!B26-'Industry Summary'!B40)/'Industry Summary'!B40</f>
        <v>1.6624129130164766E-2</v>
      </c>
      <c r="D345" s="12">
        <f>('Industry Summary'!D26-'Industry Summary'!B26)/'Industry Summary'!B26</f>
        <v>2.4670525369694139E-2</v>
      </c>
      <c r="E345" s="12">
        <f>ABS(C345-C86)+ABS(D345-E86)</f>
        <v>0</v>
      </c>
    </row>
    <row r="346" spans="1:12">
      <c r="A346" s="2" t="s">
        <v>95</v>
      </c>
      <c r="C346" s="12">
        <f>('Industry Summary'!B26-('Industry Summary'!B34-'Industry Summary'!B35))/'Industry Summary'!B26</f>
        <v>0.13338191129703159</v>
      </c>
      <c r="D346" s="12">
        <f>('Industry Summary'!D26-('Industry Summary'!D34-'Industry Summary'!D35))/'Industry Summary'!D26</f>
        <v>0.12868782449304714</v>
      </c>
      <c r="E346" s="12">
        <f>ABS(C346-C87)+ABS(D346-E87)</f>
        <v>0</v>
      </c>
    </row>
    <row r="347" spans="1:12">
      <c r="A347" s="10" t="s">
        <v>160</v>
      </c>
      <c r="C347" s="12">
        <f>'Industry Summary'!B30/'Industry Summary'!B28</f>
        <v>0.75310678390203667</v>
      </c>
      <c r="D347" s="12">
        <f>'Industry Summary'!D30/'Industry Summary'!D28</f>
        <v>0.76181669007523189</v>
      </c>
      <c r="E347" s="12">
        <f>ABS(C347-C106)+ABS(D347-E106)</f>
        <v>0</v>
      </c>
    </row>
    <row r="348" spans="1:12">
      <c r="A348" s="10" t="s">
        <v>161</v>
      </c>
      <c r="C348" s="12">
        <f>'Industry Summary'!B28/('Industry Summary'!B28+'Industry Summary'!B35)</f>
        <v>0.96763154335181933</v>
      </c>
      <c r="D348" s="12">
        <f>'Industry Summary'!D28/('Industry Summary'!D28+'Industry Summary'!D35)</f>
        <v>0.96926850965750566</v>
      </c>
      <c r="E348" s="12">
        <f>ABS(C348-C107)+ABS(D348-E107)</f>
        <v>0</v>
      </c>
    </row>
    <row r="349" spans="1:12">
      <c r="A349" s="10" t="s">
        <v>162</v>
      </c>
      <c r="C349" s="12">
        <f>('Industry Summary'!B28+'Industry Summary'!B35)/'Industry Summary'!B26</f>
        <v>0.14539954883462056</v>
      </c>
      <c r="D349" s="12">
        <f>('Industry Summary'!D28+'Industry Summary'!D35)/'Industry Summary'!D26</f>
        <v>0.14239978503085382</v>
      </c>
      <c r="E349" s="12">
        <f>ABS(C349-C108)+ABS(D349-E108)</f>
        <v>0</v>
      </c>
    </row>
    <row r="351" spans="1:12" ht="18.95" customHeight="1">
      <c r="A351" s="55" t="s">
        <v>163</v>
      </c>
      <c r="B351" s="81"/>
      <c r="C351" s="81"/>
      <c r="D351" s="81"/>
      <c r="E351" s="81"/>
      <c r="F351" s="81"/>
      <c r="G351" s="81"/>
      <c r="H351" s="81"/>
      <c r="I351" s="81"/>
      <c r="J351" s="81"/>
      <c r="K351" s="81"/>
      <c r="L351" s="81"/>
    </row>
  </sheetData>
  <mergeCells count="61">
    <mergeCell ref="A330:L330"/>
    <mergeCell ref="A90:L90"/>
    <mergeCell ref="A75:L75"/>
    <mergeCell ref="A89:L89"/>
    <mergeCell ref="A206:L229"/>
    <mergeCell ref="A324:L324"/>
    <mergeCell ref="A184:L184"/>
    <mergeCell ref="A232:L249"/>
    <mergeCell ref="C92:D92"/>
    <mergeCell ref="A177:L177"/>
    <mergeCell ref="A327:L327"/>
    <mergeCell ref="A81:L81"/>
    <mergeCell ref="A100:L100"/>
    <mergeCell ref="A351:L351"/>
    <mergeCell ref="E92:F92"/>
    <mergeCell ref="A55:L55"/>
    <mergeCell ref="A101:L101"/>
    <mergeCell ref="A2:L2"/>
    <mergeCell ref="A179:L179"/>
    <mergeCell ref="A42:L42"/>
    <mergeCell ref="A71:L71"/>
    <mergeCell ref="C63:D63"/>
    <mergeCell ref="A116:L116"/>
    <mergeCell ref="E63:F63"/>
    <mergeCell ref="A32:L32"/>
    <mergeCell ref="C50:D50"/>
    <mergeCell ref="C84:D84"/>
    <mergeCell ref="A181:L181"/>
    <mergeCell ref="E84:F84"/>
    <mergeCell ref="A332:L332"/>
    <mergeCell ref="A252:L272"/>
    <mergeCell ref="A68:L68"/>
    <mergeCell ref="C76:D76"/>
    <mergeCell ref="A31:L31"/>
    <mergeCell ref="A329:L329"/>
    <mergeCell ref="A40:L40"/>
    <mergeCell ref="A67:L67"/>
    <mergeCell ref="A176:L176"/>
    <mergeCell ref="A114:L114"/>
    <mergeCell ref="A39:L39"/>
    <mergeCell ref="A82:L82"/>
    <mergeCell ref="A98:L98"/>
    <mergeCell ref="A49:L49"/>
    <mergeCell ref="A182:L182"/>
    <mergeCell ref="A62:L62"/>
    <mergeCell ref="A1:L1"/>
    <mergeCell ref="A103:L103"/>
    <mergeCell ref="A178:L178"/>
    <mergeCell ref="A325:L325"/>
    <mergeCell ref="A6:L6"/>
    <mergeCell ref="A70:L70"/>
    <mergeCell ref="E56:F56"/>
    <mergeCell ref="A186:L203"/>
    <mergeCell ref="A4:L4"/>
    <mergeCell ref="C7:D7"/>
    <mergeCell ref="C43:D43"/>
    <mergeCell ref="A180:L180"/>
    <mergeCell ref="A275:L322"/>
    <mergeCell ref="E43:F43"/>
    <mergeCell ref="E50:F50"/>
    <mergeCell ref="C56:D56"/>
  </mergeCells>
  <pageMargins left="0.4" right="0.4" top="0.5" bottom="0.5" header="0.25" footer="0.25"/>
  <pageSetup paperSize="9" fitToHeight="0" orientation="landscape" horizontalDpi="300" verticalDpi="300"/>
  <headerFooter>
    <oddHeader>&amp;L&amp;"Times New Roman,Bold"&amp;9 FAA Major Project - Indian Paints Industry&amp;R&amp;"Times New Roman,Regular"&amp;9 &amp;A</oddHeader>
    <oddFooter>&amp;L&amp;"Times New Roman,Regular"&amp;8 Standalone, ₹ Crore&amp;C&amp;"Times New Roman,Regular"&amp;8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86"/>
  <sheetViews>
    <sheetView topLeftCell="A158" zoomScale="76" zoomScaleNormal="85" workbookViewId="0">
      <selection activeCell="G261" sqref="G261"/>
    </sheetView>
  </sheetViews>
  <sheetFormatPr defaultColWidth="8.5703125" defaultRowHeight="14.1"/>
  <cols>
    <col min="1" max="1" width="46" style="1" customWidth="1"/>
    <col min="2" max="2" width="15" style="1" customWidth="1"/>
    <col min="3" max="11" width="13.42578125" style="1" customWidth="1"/>
    <col min="12" max="12" width="10" style="1" customWidth="1"/>
    <col min="13" max="16" width="8.7109375" style="1" customWidth="1"/>
    <col min="17" max="17" width="8.5703125" style="1" customWidth="1"/>
    <col min="18" max="16384" width="8.5703125" style="1"/>
  </cols>
  <sheetData>
    <row r="1" spans="1:12" ht="34.15" customHeight="1">
      <c r="A1" s="54" t="s">
        <v>164</v>
      </c>
      <c r="B1" s="81"/>
      <c r="C1" s="81"/>
      <c r="D1" s="81"/>
      <c r="E1" s="81"/>
      <c r="F1" s="81"/>
      <c r="G1" s="81"/>
      <c r="H1" s="81"/>
      <c r="I1" s="81"/>
      <c r="J1" s="81"/>
      <c r="K1" s="81"/>
      <c r="L1" s="81"/>
    </row>
    <row r="2" spans="1:12" ht="21.95" customHeight="1">
      <c r="A2" s="58" t="s">
        <v>23</v>
      </c>
      <c r="B2" s="81"/>
      <c r="C2" s="81"/>
      <c r="D2" s="81"/>
      <c r="E2" s="81"/>
      <c r="F2" s="81"/>
      <c r="G2" s="81"/>
      <c r="H2" s="81"/>
      <c r="I2" s="81"/>
      <c r="J2" s="81"/>
      <c r="K2" s="81"/>
      <c r="L2" s="81"/>
    </row>
    <row r="3" spans="1:12" ht="8.1" customHeight="1"/>
    <row r="4" spans="1:12" ht="26.85" customHeight="1">
      <c r="A4" s="59" t="s">
        <v>24</v>
      </c>
      <c r="B4" s="81"/>
      <c r="C4" s="81"/>
      <c r="D4" s="81"/>
      <c r="E4" s="81"/>
      <c r="F4" s="81"/>
      <c r="G4" s="81"/>
      <c r="H4" s="81"/>
      <c r="I4" s="81"/>
      <c r="J4" s="81"/>
      <c r="K4" s="81"/>
      <c r="L4" s="81"/>
    </row>
    <row r="5" spans="1:12" ht="9" customHeight="1"/>
    <row r="6" spans="1:12" ht="26.85" customHeight="1">
      <c r="A6" s="56" t="s">
        <v>25</v>
      </c>
      <c r="B6" s="81"/>
      <c r="C6" s="81"/>
      <c r="D6" s="81"/>
      <c r="E6" s="81"/>
      <c r="F6" s="81"/>
      <c r="G6" s="81"/>
      <c r="H6" s="81"/>
      <c r="I6" s="81"/>
      <c r="J6" s="81"/>
      <c r="K6" s="81"/>
      <c r="L6" s="81"/>
    </row>
    <row r="7" spans="1:12" ht="21.95" customHeight="1">
      <c r="A7" s="2" t="s">
        <v>26</v>
      </c>
      <c r="C7" s="57" t="s">
        <v>165</v>
      </c>
      <c r="D7" s="84"/>
    </row>
    <row r="8" spans="1:12" ht="15.75" customHeight="1">
      <c r="C8" s="4" t="s">
        <v>28</v>
      </c>
      <c r="D8" s="4" t="s">
        <v>29</v>
      </c>
    </row>
    <row r="9" spans="1:12" ht="15.75" customHeight="1">
      <c r="A9" s="13" t="s">
        <v>30</v>
      </c>
      <c r="C9" s="7">
        <v>1609.71</v>
      </c>
      <c r="D9" s="7">
        <v>1492.92</v>
      </c>
    </row>
    <row r="10" spans="1:12" ht="15.75" customHeight="1">
      <c r="A10" s="13" t="s">
        <v>31</v>
      </c>
      <c r="C10" s="7">
        <v>1274.7</v>
      </c>
      <c r="D10" s="7">
        <v>1379.83</v>
      </c>
    </row>
    <row r="11" spans="1:12" ht="15.75" customHeight="1">
      <c r="A11" s="13" t="s">
        <v>32</v>
      </c>
      <c r="C11" s="7">
        <v>85.72</v>
      </c>
      <c r="D11" s="7">
        <v>184.12</v>
      </c>
    </row>
    <row r="12" spans="1:12" ht="15.75" customHeight="1">
      <c r="A12" s="13" t="s">
        <v>33</v>
      </c>
      <c r="C12" s="7">
        <v>174.52</v>
      </c>
      <c r="D12" s="7">
        <v>7.97</v>
      </c>
    </row>
    <row r="13" spans="1:12" ht="29.25" customHeight="1">
      <c r="A13" s="13" t="s">
        <v>34</v>
      </c>
      <c r="C13" s="7">
        <v>2029.11</v>
      </c>
      <c r="D13" s="7">
        <v>2549.88</v>
      </c>
    </row>
    <row r="14" spans="1:12" ht="15.75" customHeight="1">
      <c r="A14" s="8" t="s">
        <v>35</v>
      </c>
      <c r="C14" s="9">
        <v>5173.76</v>
      </c>
      <c r="D14" s="9">
        <v>5614.72</v>
      </c>
    </row>
    <row r="15" spans="1:12" ht="15.75" customHeight="1">
      <c r="A15" s="13" t="s">
        <v>36</v>
      </c>
      <c r="C15" s="7">
        <v>1023.65</v>
      </c>
      <c r="D15" s="7">
        <v>1075.42</v>
      </c>
    </row>
    <row r="16" spans="1:12" ht="15.75" customHeight="1">
      <c r="A16" s="13" t="s">
        <v>37</v>
      </c>
      <c r="C16" s="7">
        <v>0</v>
      </c>
      <c r="D16" s="7">
        <v>0</v>
      </c>
    </row>
    <row r="17" spans="1:12" ht="29.25" customHeight="1">
      <c r="A17" s="13" t="s">
        <v>38</v>
      </c>
      <c r="C17" s="7">
        <v>263.68</v>
      </c>
      <c r="D17" s="7">
        <v>422.77</v>
      </c>
    </row>
    <row r="18" spans="1:12" ht="15.75" customHeight="1">
      <c r="A18" s="8" t="s">
        <v>39</v>
      </c>
      <c r="C18" s="9">
        <v>1287.33</v>
      </c>
      <c r="D18" s="9">
        <v>1498.19</v>
      </c>
    </row>
    <row r="19" spans="1:12" ht="29.25" customHeight="1">
      <c r="A19" s="13" t="s">
        <v>40</v>
      </c>
      <c r="C19" s="7">
        <v>0</v>
      </c>
      <c r="D19" s="7">
        <v>0</v>
      </c>
    </row>
    <row r="20" spans="1:12" ht="15.75" customHeight="1">
      <c r="A20" s="13" t="s">
        <v>41</v>
      </c>
      <c r="C20" s="7">
        <v>6366.23</v>
      </c>
      <c r="D20" s="7">
        <v>6695.77</v>
      </c>
    </row>
    <row r="21" spans="1:12" ht="15.75" customHeight="1">
      <c r="A21" s="8" t="s">
        <v>42</v>
      </c>
      <c r="C21" s="9">
        <v>7969.24</v>
      </c>
      <c r="D21" s="9">
        <v>8538.59</v>
      </c>
    </row>
    <row r="22" spans="1:12" ht="15.75" customHeight="1">
      <c r="A22" s="13" t="s">
        <v>43</v>
      </c>
      <c r="C22" s="7">
        <v>7496.71</v>
      </c>
      <c r="D22" s="7">
        <v>7739.23</v>
      </c>
    </row>
    <row r="23" spans="1:12" ht="15.75" customHeight="1">
      <c r="A23" s="13" t="s">
        <v>44</v>
      </c>
      <c r="C23" s="7">
        <v>4357.87</v>
      </c>
      <c r="D23" s="7">
        <v>4382.2</v>
      </c>
    </row>
    <row r="24" spans="1:12" ht="15.75" customHeight="1">
      <c r="A24" s="13" t="s">
        <v>45</v>
      </c>
      <c r="C24" s="7">
        <v>1386.61</v>
      </c>
      <c r="D24" s="7">
        <v>838.21</v>
      </c>
    </row>
    <row r="25" spans="1:12" ht="15.75" customHeight="1">
      <c r="A25" s="13" t="s">
        <v>46</v>
      </c>
      <c r="C25" s="7">
        <v>365.37</v>
      </c>
      <c r="D25" s="7">
        <v>218.36</v>
      </c>
    </row>
    <row r="26" spans="1:12" ht="15.75" customHeight="1">
      <c r="A26" s="8" t="s">
        <v>47</v>
      </c>
      <c r="C26" s="9">
        <v>1021.24</v>
      </c>
      <c r="D26" s="9">
        <v>619.85</v>
      </c>
    </row>
    <row r="27" spans="1:12" ht="29.25" customHeight="1">
      <c r="A27" s="13" t="s">
        <v>48</v>
      </c>
      <c r="C27" s="7">
        <v>479.19</v>
      </c>
      <c r="D27" s="7">
        <v>-60.7</v>
      </c>
    </row>
    <row r="28" spans="1:12" ht="15.75" customHeight="1">
      <c r="A28" s="8" t="s">
        <v>49</v>
      </c>
      <c r="C28" s="9">
        <v>907.42</v>
      </c>
      <c r="D28" s="9">
        <v>898.91</v>
      </c>
    </row>
    <row r="29" spans="1:12" ht="29.25" customHeight="1">
      <c r="A29" s="13" t="s">
        <v>50</v>
      </c>
      <c r="C29" s="7">
        <v>171.2</v>
      </c>
      <c r="D29" s="7">
        <v>217.2</v>
      </c>
    </row>
    <row r="31" spans="1:12" ht="21.95" customHeight="1">
      <c r="A31" s="56" t="s">
        <v>51</v>
      </c>
      <c r="B31" s="81"/>
      <c r="C31" s="81"/>
      <c r="D31" s="81"/>
      <c r="E31" s="81"/>
      <c r="F31" s="81"/>
      <c r="G31" s="81"/>
      <c r="H31" s="81"/>
      <c r="I31" s="81"/>
      <c r="J31" s="81"/>
      <c r="K31" s="81"/>
      <c r="L31" s="81"/>
    </row>
    <row r="32" spans="1:12" ht="37.700000000000003" customHeight="1">
      <c r="A32" s="55" t="s">
        <v>52</v>
      </c>
      <c r="B32" s="81"/>
      <c r="C32" s="81"/>
      <c r="D32" s="81"/>
      <c r="E32" s="81"/>
      <c r="F32" s="81"/>
      <c r="G32" s="81"/>
      <c r="H32" s="81"/>
      <c r="I32" s="81"/>
      <c r="J32" s="81"/>
      <c r="K32" s="81"/>
      <c r="L32" s="81"/>
    </row>
    <row r="34" spans="1:12" ht="15.75" customHeight="1">
      <c r="A34" s="2" t="s">
        <v>53</v>
      </c>
      <c r="C34" s="4" t="s">
        <v>165</v>
      </c>
    </row>
    <row r="35" spans="1:12" ht="15.75" customHeight="1">
      <c r="A35" s="10" t="s">
        <v>30</v>
      </c>
      <c r="C35" s="7">
        <v>1616.04</v>
      </c>
    </row>
    <row r="36" spans="1:12" ht="15.75" customHeight="1">
      <c r="A36" s="10" t="s">
        <v>41</v>
      </c>
      <c r="C36" s="7">
        <v>5653.12</v>
      </c>
    </row>
    <row r="37" spans="1:12" ht="15.75" customHeight="1">
      <c r="A37" s="10" t="s">
        <v>42</v>
      </c>
      <c r="C37" s="7">
        <v>7224.8</v>
      </c>
    </row>
    <row r="38" spans="1:12" ht="9" customHeight="1"/>
    <row r="39" spans="1:12" ht="21.95" customHeight="1">
      <c r="A39" s="56" t="s">
        <v>54</v>
      </c>
      <c r="B39" s="81"/>
      <c r="C39" s="81"/>
      <c r="D39" s="81"/>
      <c r="E39" s="81"/>
      <c r="F39" s="81"/>
      <c r="G39" s="81"/>
      <c r="H39" s="81"/>
      <c r="I39" s="81"/>
      <c r="J39" s="81"/>
      <c r="K39" s="81"/>
      <c r="L39" s="81"/>
    </row>
    <row r="40" spans="1:12" ht="50.45" customHeight="1">
      <c r="A40" s="55" t="s">
        <v>55</v>
      </c>
      <c r="B40" s="81"/>
      <c r="C40" s="81"/>
      <c r="D40" s="81"/>
      <c r="E40" s="81"/>
      <c r="F40" s="81"/>
      <c r="G40" s="81"/>
      <c r="H40" s="81"/>
      <c r="I40" s="81"/>
      <c r="J40" s="81"/>
      <c r="K40" s="81"/>
      <c r="L40" s="81"/>
    </row>
    <row r="41" spans="1:12" ht="9" customHeight="1"/>
    <row r="42" spans="1:12" ht="26.85" customHeight="1">
      <c r="A42" s="56" t="s">
        <v>56</v>
      </c>
      <c r="B42" s="81"/>
      <c r="C42" s="81"/>
      <c r="D42" s="81"/>
      <c r="E42" s="81"/>
      <c r="F42" s="81"/>
      <c r="G42" s="81"/>
      <c r="H42" s="81"/>
      <c r="I42" s="81"/>
      <c r="J42" s="81"/>
      <c r="K42" s="81"/>
      <c r="L42" s="81"/>
    </row>
    <row r="43" spans="1:12" ht="15.75" customHeight="1">
      <c r="C43" s="57" t="s">
        <v>28</v>
      </c>
      <c r="D43" s="84"/>
      <c r="E43" s="57" t="s">
        <v>29</v>
      </c>
      <c r="F43" s="84"/>
    </row>
    <row r="44" spans="1:12" ht="21.95" customHeight="1">
      <c r="A44" s="5" t="s">
        <v>57</v>
      </c>
      <c r="B44" s="5" t="s">
        <v>58</v>
      </c>
      <c r="C44" s="5" t="s">
        <v>59</v>
      </c>
      <c r="D44" s="5" t="s">
        <v>60</v>
      </c>
      <c r="E44" s="5" t="s">
        <v>59</v>
      </c>
      <c r="F44" s="5" t="s">
        <v>60</v>
      </c>
    </row>
    <row r="45" spans="1:12" ht="41.1" customHeight="1">
      <c r="A45" s="2" t="s">
        <v>61</v>
      </c>
      <c r="B45" s="50" t="s">
        <v>62</v>
      </c>
      <c r="C45" s="11">
        <f>C14/C18</f>
        <v>4.0189850310332238</v>
      </c>
      <c r="D45" s="11">
        <f>'Industry Summary'!L48</f>
        <v>2.4353778229716396</v>
      </c>
      <c r="E45" s="11">
        <f>D14/D18</f>
        <v>3.7476688537501919</v>
      </c>
      <c r="F45" s="11">
        <f>'Industry Summary'!L60</f>
        <v>2.4275972449136276</v>
      </c>
    </row>
    <row r="46" spans="1:12" ht="41.1" customHeight="1">
      <c r="A46" s="2" t="s">
        <v>63</v>
      </c>
      <c r="B46" s="50" t="s">
        <v>64</v>
      </c>
      <c r="C46" s="11">
        <f>(C14-C9)/C18</f>
        <v>2.7685597321588098</v>
      </c>
      <c r="D46" s="11">
        <f>'Industry Summary'!L49</f>
        <v>1.5808142416651734</v>
      </c>
      <c r="E46" s="11">
        <f>(D14-D9)/D18</f>
        <v>2.751186431627497</v>
      </c>
      <c r="F46" s="11">
        <f>'Industry Summary'!L61</f>
        <v>1.6811361655827657</v>
      </c>
    </row>
    <row r="47" spans="1:12" ht="48" customHeight="1">
      <c r="A47" s="2" t="s">
        <v>65</v>
      </c>
      <c r="B47" s="50" t="s">
        <v>66</v>
      </c>
      <c r="C47" s="11">
        <f>(C11+C12)/C18</f>
        <v>0.20215484763036676</v>
      </c>
      <c r="D47" s="11">
        <f>'Industry Summary'!L50</f>
        <v>0.15262563733347595</v>
      </c>
      <c r="E47" s="11">
        <f>(D11+D12)/D18</f>
        <v>0.12821471241965304</v>
      </c>
      <c r="F47" s="11">
        <f>'Industry Summary'!L62</f>
        <v>0.11967228575278641</v>
      </c>
    </row>
    <row r="48" spans="1:12" ht="9" customHeight="1"/>
    <row r="49" spans="1:12" ht="26.85" customHeight="1">
      <c r="A49" s="56" t="s">
        <v>67</v>
      </c>
      <c r="B49" s="81"/>
      <c r="C49" s="81"/>
      <c r="D49" s="81"/>
      <c r="E49" s="81"/>
      <c r="F49" s="81"/>
      <c r="G49" s="81"/>
      <c r="H49" s="81"/>
      <c r="I49" s="81"/>
      <c r="J49" s="81"/>
      <c r="K49" s="81"/>
      <c r="L49" s="81"/>
    </row>
    <row r="50" spans="1:12" ht="15.75" customHeight="1">
      <c r="C50" s="57" t="s">
        <v>28</v>
      </c>
      <c r="D50" s="84"/>
      <c r="E50" s="57" t="s">
        <v>29</v>
      </c>
      <c r="F50" s="84"/>
    </row>
    <row r="51" spans="1:12" ht="21.95" customHeight="1">
      <c r="A51" s="5" t="s">
        <v>57</v>
      </c>
      <c r="B51" s="5" t="s">
        <v>58</v>
      </c>
      <c r="C51" s="5" t="s">
        <v>59</v>
      </c>
      <c r="D51" s="5" t="s">
        <v>60</v>
      </c>
      <c r="E51" s="5" t="s">
        <v>59</v>
      </c>
      <c r="F51" s="5" t="s">
        <v>60</v>
      </c>
    </row>
    <row r="52" spans="1:12" ht="41.1" customHeight="1">
      <c r="A52" s="2" t="s">
        <v>68</v>
      </c>
      <c r="B52" s="50" t="s">
        <v>69</v>
      </c>
      <c r="C52" s="11">
        <f>C19/C20</f>
        <v>0</v>
      </c>
      <c r="D52" s="11">
        <f>'Industry Summary'!L54</f>
        <v>4.2882759079160922E-4</v>
      </c>
      <c r="E52" s="11">
        <f>D19/D20</f>
        <v>0</v>
      </c>
      <c r="F52" s="11">
        <f>'Industry Summary'!L66</f>
        <v>1.1449284846758376E-2</v>
      </c>
    </row>
    <row r="53" spans="1:12" ht="48" customHeight="1">
      <c r="A53" s="2" t="s">
        <v>70</v>
      </c>
      <c r="B53" s="50" t="s">
        <v>71</v>
      </c>
      <c r="C53" s="11">
        <f>(C19+C29)/C20</f>
        <v>2.689189677407194E-2</v>
      </c>
      <c r="D53" s="11">
        <f>'Industry Summary'!L55</f>
        <v>4.8453002725657834E-2</v>
      </c>
      <c r="E53" s="11">
        <f>(D19+D29)/D20</f>
        <v>3.2438390207548941E-2</v>
      </c>
      <c r="F53" s="11">
        <f>'Industry Summary'!L67</f>
        <v>5.3467726099874505E-2</v>
      </c>
    </row>
    <row r="54" spans="1:12" ht="9" customHeight="1"/>
    <row r="55" spans="1:12" ht="26.85" customHeight="1">
      <c r="A55" s="56" t="s">
        <v>72</v>
      </c>
      <c r="B55" s="81"/>
      <c r="C55" s="81"/>
      <c r="D55" s="81"/>
      <c r="E55" s="81"/>
      <c r="F55" s="81"/>
      <c r="G55" s="81"/>
      <c r="H55" s="81"/>
      <c r="I55" s="81"/>
      <c r="J55" s="81"/>
      <c r="K55" s="81"/>
      <c r="L55" s="81"/>
    </row>
    <row r="56" spans="1:12" ht="15.75" customHeight="1">
      <c r="C56" s="57" t="s">
        <v>28</v>
      </c>
      <c r="D56" s="84"/>
      <c r="E56" s="57" t="s">
        <v>29</v>
      </c>
      <c r="F56" s="84"/>
    </row>
    <row r="57" spans="1:12" ht="21.95" customHeight="1">
      <c r="A57" s="5" t="s">
        <v>57</v>
      </c>
      <c r="B57" s="5" t="s">
        <v>58</v>
      </c>
      <c r="C57" s="5" t="s">
        <v>59</v>
      </c>
      <c r="D57" s="5" t="s">
        <v>60</v>
      </c>
      <c r="E57" s="5" t="s">
        <v>59</v>
      </c>
      <c r="F57" s="5" t="s">
        <v>60</v>
      </c>
    </row>
    <row r="58" spans="1:12" ht="41.1" customHeight="1">
      <c r="A58" s="2" t="s">
        <v>73</v>
      </c>
      <c r="B58" s="50" t="s">
        <v>74</v>
      </c>
      <c r="C58" s="12">
        <f>C26/C22</f>
        <v>0.13622509073980452</v>
      </c>
      <c r="D58" s="12">
        <f>'Industry Summary'!L51</f>
        <v>0.11618978422920279</v>
      </c>
      <c r="E58" s="12">
        <f>D26/D22</f>
        <v>8.0091947131691404E-2</v>
      </c>
      <c r="F58" s="12">
        <f>'Industry Summary'!L63</f>
        <v>0.19305876648692805</v>
      </c>
    </row>
    <row r="59" spans="1:12" ht="70.5" customHeight="1">
      <c r="A59" s="2" t="s">
        <v>75</v>
      </c>
      <c r="B59" s="50" t="s">
        <v>76</v>
      </c>
      <c r="C59" s="12">
        <f>C26/AVERAGE(C37,C21)</f>
        <v>0.1344263935069277</v>
      </c>
      <c r="D59" s="12">
        <f>'Industry Summary'!L52</f>
        <v>0.13330559294801242</v>
      </c>
      <c r="E59" s="12">
        <f>D26/AVERAGE(C21,D21)</f>
        <v>7.5097696063019789E-2</v>
      </c>
      <c r="F59" s="12">
        <f>'Industry Summary'!L64</f>
        <v>0.20609893209627583</v>
      </c>
    </row>
    <row r="60" spans="1:12" ht="70.5" customHeight="1">
      <c r="A60" s="2" t="s">
        <v>77</v>
      </c>
      <c r="B60" s="50" t="s">
        <v>78</v>
      </c>
      <c r="C60" s="12">
        <f>C26/AVERAGE(C36,C20)</f>
        <v>0.16993265026810936</v>
      </c>
      <c r="D60" s="12">
        <f>'Industry Summary'!L53</f>
        <v>0.20662056251043043</v>
      </c>
      <c r="E60" s="12">
        <f>D26/AVERAGE(C20,D20)</f>
        <v>9.4908896034297974E-2</v>
      </c>
      <c r="F60" s="12">
        <f>'Industry Summary'!L65</f>
        <v>0.33024034816826131</v>
      </c>
    </row>
    <row r="61" spans="1:12" ht="9" customHeight="1"/>
    <row r="62" spans="1:12" ht="26.85" customHeight="1">
      <c r="A62" s="56" t="s">
        <v>79</v>
      </c>
      <c r="B62" s="81"/>
      <c r="C62" s="81"/>
      <c r="D62" s="81"/>
      <c r="E62" s="81"/>
      <c r="F62" s="81"/>
      <c r="G62" s="81"/>
      <c r="H62" s="81"/>
      <c r="I62" s="81"/>
      <c r="J62" s="81"/>
      <c r="K62" s="81"/>
      <c r="L62" s="81"/>
    </row>
    <row r="63" spans="1:12" ht="15.75" customHeight="1">
      <c r="C63" s="57" t="s">
        <v>28</v>
      </c>
      <c r="D63" s="84"/>
      <c r="E63" s="57" t="s">
        <v>29</v>
      </c>
      <c r="F63" s="84"/>
    </row>
    <row r="64" spans="1:12" ht="21.95" customHeight="1">
      <c r="A64" s="5" t="s">
        <v>57</v>
      </c>
      <c r="B64" s="5" t="s">
        <v>58</v>
      </c>
      <c r="C64" s="5" t="s">
        <v>59</v>
      </c>
      <c r="D64" s="5" t="s">
        <v>60</v>
      </c>
      <c r="E64" s="5" t="s">
        <v>59</v>
      </c>
      <c r="F64" s="5" t="s">
        <v>60</v>
      </c>
    </row>
    <row r="65" spans="1:12" ht="138" customHeight="1">
      <c r="A65" s="2" t="s">
        <v>80</v>
      </c>
      <c r="B65" s="50" t="s">
        <v>81</v>
      </c>
      <c r="C65" s="11">
        <f>C23/AVERAGE(C35,C9)</f>
        <v>2.7019266837169651</v>
      </c>
      <c r="D65" s="11">
        <f>'Industry Summary'!L56</f>
        <v>3.0528355869658208</v>
      </c>
      <c r="E65" s="11">
        <f>D23/AVERAGE(C9,D9)</f>
        <v>2.8248292577587399</v>
      </c>
      <c r="F65" s="11">
        <f>'Industry Summary'!L68</f>
        <v>2.9688387658971824</v>
      </c>
    </row>
    <row r="66" spans="1:12" ht="9" customHeight="1"/>
    <row r="67" spans="1:12" ht="26.85" customHeight="1">
      <c r="A67" s="56" t="s">
        <v>82</v>
      </c>
      <c r="B67" s="81"/>
      <c r="C67" s="81"/>
      <c r="D67" s="81"/>
      <c r="E67" s="81"/>
      <c r="F67" s="81"/>
      <c r="G67" s="81"/>
      <c r="H67" s="81"/>
      <c r="I67" s="81"/>
      <c r="J67" s="81"/>
      <c r="K67" s="81"/>
      <c r="L67" s="81"/>
    </row>
    <row r="68" spans="1:12" ht="47.1" customHeight="1">
      <c r="A68" s="55" t="s">
        <v>83</v>
      </c>
      <c r="B68" s="81"/>
      <c r="C68" s="81"/>
      <c r="D68" s="81"/>
      <c r="E68" s="81"/>
      <c r="F68" s="81"/>
      <c r="G68" s="81"/>
      <c r="H68" s="81"/>
      <c r="I68" s="81"/>
      <c r="J68" s="81"/>
      <c r="K68" s="81"/>
      <c r="L68" s="81"/>
    </row>
    <row r="70" spans="1:12" ht="21.95" customHeight="1">
      <c r="A70" s="56" t="s">
        <v>84</v>
      </c>
      <c r="B70" s="81"/>
      <c r="C70" s="81"/>
      <c r="D70" s="81"/>
      <c r="E70" s="81"/>
      <c r="F70" s="81"/>
      <c r="G70" s="81"/>
      <c r="H70" s="81"/>
      <c r="I70" s="81"/>
      <c r="J70" s="81"/>
      <c r="K70" s="81"/>
      <c r="L70" s="81"/>
    </row>
    <row r="71" spans="1:12" ht="37.700000000000003" customHeight="1">
      <c r="A71" s="55" t="s">
        <v>85</v>
      </c>
      <c r="B71" s="81"/>
      <c r="C71" s="81"/>
      <c r="D71" s="81"/>
      <c r="E71" s="81"/>
      <c r="F71" s="81"/>
      <c r="G71" s="81"/>
      <c r="H71" s="81"/>
      <c r="I71" s="81"/>
      <c r="J71" s="81"/>
      <c r="K71" s="81"/>
      <c r="L71" s="81"/>
    </row>
    <row r="72" spans="1:12" ht="13.5" customHeight="1">
      <c r="A72" s="2" t="s">
        <v>86</v>
      </c>
      <c r="C72" s="4" t="s">
        <v>165</v>
      </c>
    </row>
    <row r="73" spans="1:12" ht="15.6" customHeight="1">
      <c r="A73" s="13" t="s">
        <v>43</v>
      </c>
      <c r="C73" s="7">
        <v>7393.3</v>
      </c>
    </row>
    <row r="75" spans="1:12" ht="21.95" customHeight="1">
      <c r="A75" s="56" t="s">
        <v>88</v>
      </c>
      <c r="B75" s="81"/>
      <c r="C75" s="81"/>
      <c r="D75" s="81"/>
      <c r="E75" s="81"/>
      <c r="F75" s="81"/>
      <c r="G75" s="81"/>
      <c r="H75" s="81"/>
      <c r="I75" s="81"/>
      <c r="J75" s="81"/>
      <c r="K75" s="81"/>
      <c r="L75" s="81"/>
    </row>
    <row r="76" spans="1:12" ht="13.5" customHeight="1">
      <c r="A76" s="2" t="s">
        <v>26</v>
      </c>
      <c r="C76" s="57" t="s">
        <v>165</v>
      </c>
      <c r="D76" s="84"/>
    </row>
    <row r="77" spans="1:12" ht="13.5" customHeight="1">
      <c r="C77" s="4" t="s">
        <v>28</v>
      </c>
      <c r="D77" s="4" t="s">
        <v>29</v>
      </c>
    </row>
    <row r="78" spans="1:12" ht="28.35" customHeight="1">
      <c r="A78" s="13" t="s">
        <v>89</v>
      </c>
      <c r="C78" s="7">
        <v>6731.35</v>
      </c>
      <c r="D78" s="7">
        <v>6992.78</v>
      </c>
    </row>
    <row r="79" spans="1:12" ht="15.6" customHeight="1">
      <c r="A79" s="13" t="s">
        <v>90</v>
      </c>
      <c r="C79" s="7">
        <v>15.09</v>
      </c>
      <c r="D79" s="7">
        <v>18.41</v>
      </c>
    </row>
    <row r="81" spans="1:12" ht="21.95" customHeight="1">
      <c r="A81" s="56" t="s">
        <v>91</v>
      </c>
      <c r="B81" s="81"/>
      <c r="C81" s="81"/>
      <c r="D81" s="81"/>
      <c r="E81" s="81"/>
      <c r="F81" s="81"/>
      <c r="G81" s="81"/>
      <c r="H81" s="81"/>
      <c r="I81" s="81"/>
      <c r="J81" s="81"/>
      <c r="K81" s="81"/>
      <c r="L81" s="81"/>
    </row>
    <row r="82" spans="1:12" ht="37.700000000000003" customHeight="1">
      <c r="A82" s="55" t="s">
        <v>92</v>
      </c>
      <c r="B82" s="81"/>
      <c r="C82" s="81"/>
      <c r="D82" s="81"/>
      <c r="E82" s="81"/>
      <c r="F82" s="81"/>
      <c r="G82" s="81"/>
      <c r="H82" s="81"/>
      <c r="I82" s="81"/>
      <c r="J82" s="81"/>
      <c r="K82" s="81"/>
      <c r="L82" s="81"/>
    </row>
    <row r="84" spans="1:12" ht="13.5" customHeight="1">
      <c r="C84" s="57" t="s">
        <v>28</v>
      </c>
      <c r="D84" s="84"/>
      <c r="E84" s="57" t="s">
        <v>29</v>
      </c>
      <c r="F84" s="84"/>
    </row>
    <row r="85" spans="1:12" ht="15.6" customHeight="1">
      <c r="A85" s="3" t="s">
        <v>57</v>
      </c>
      <c r="B85" s="3" t="s">
        <v>58</v>
      </c>
      <c r="C85" s="3" t="s">
        <v>59</v>
      </c>
      <c r="D85" s="3" t="s">
        <v>60</v>
      </c>
      <c r="E85" s="3" t="s">
        <v>59</v>
      </c>
      <c r="F85" s="3" t="s">
        <v>60</v>
      </c>
    </row>
    <row r="86" spans="1:12" ht="58.5" customHeight="1">
      <c r="A86" s="2" t="s">
        <v>93</v>
      </c>
      <c r="B86" s="50" t="s">
        <v>94</v>
      </c>
      <c r="C86" s="12">
        <f>(C22-C73)/C73</f>
        <v>1.3986988219063187E-2</v>
      </c>
      <c r="D86" s="12">
        <f>'Industry Summary'!L75</f>
        <v>5.5003857669910948E-3</v>
      </c>
      <c r="E86" s="12">
        <f>(D22-C22)/C22</f>
        <v>3.2350190950430194E-2</v>
      </c>
      <c r="F86" s="12">
        <f>'Industry Summary'!L80</f>
        <v>3.8760261726408533E-3</v>
      </c>
    </row>
    <row r="87" spans="1:12" ht="36.75" customHeight="1">
      <c r="A87" s="2" t="s">
        <v>95</v>
      </c>
      <c r="B87" s="50" t="s">
        <v>96</v>
      </c>
      <c r="C87" s="12">
        <f>(C22-(C78-C79))/C22</f>
        <v>0.10410566768622499</v>
      </c>
      <c r="D87" s="12">
        <f>'Industry Summary'!L76</f>
        <v>0.13378095531393658</v>
      </c>
      <c r="E87" s="12">
        <f>(D22-(D78-D79))/D22</f>
        <v>9.8828953267960734E-2</v>
      </c>
      <c r="F87" s="12">
        <f>'Industry Summary'!L81</f>
        <v>0.13140018742773768</v>
      </c>
    </row>
    <row r="88" spans="1:12" ht="9" customHeight="1"/>
    <row r="89" spans="1:12" ht="26.85" customHeight="1">
      <c r="A89" s="56" t="s">
        <v>97</v>
      </c>
      <c r="B89" s="81"/>
      <c r="C89" s="81"/>
      <c r="D89" s="81"/>
      <c r="E89" s="81"/>
      <c r="F89" s="81"/>
      <c r="G89" s="81"/>
      <c r="H89" s="81"/>
      <c r="I89" s="81"/>
      <c r="J89" s="81"/>
      <c r="K89" s="81"/>
      <c r="L89" s="81"/>
    </row>
    <row r="90" spans="1:12" ht="32.1" customHeight="1">
      <c r="A90" s="55" t="s">
        <v>98</v>
      </c>
      <c r="B90" s="81"/>
      <c r="C90" s="81"/>
      <c r="D90" s="81"/>
      <c r="E90" s="81"/>
      <c r="F90" s="81"/>
      <c r="G90" s="81"/>
      <c r="H90" s="81"/>
      <c r="I90" s="81"/>
      <c r="J90" s="81"/>
      <c r="K90" s="81"/>
      <c r="L90" s="81"/>
    </row>
    <row r="92" spans="1:12" ht="15.75" customHeight="1">
      <c r="C92" s="57" t="s">
        <v>28</v>
      </c>
      <c r="D92" s="84"/>
      <c r="E92" s="57" t="s">
        <v>29</v>
      </c>
      <c r="F92" s="84"/>
    </row>
    <row r="93" spans="1:12" ht="21.95" customHeight="1">
      <c r="A93" s="5" t="s">
        <v>99</v>
      </c>
      <c r="B93" s="5" t="s">
        <v>58</v>
      </c>
      <c r="C93" s="5" t="s">
        <v>59</v>
      </c>
      <c r="D93" s="5" t="s">
        <v>60</v>
      </c>
      <c r="E93" s="5" t="s">
        <v>59</v>
      </c>
      <c r="F93" s="5" t="s">
        <v>60</v>
      </c>
    </row>
    <row r="94" spans="1:12" ht="29.25" customHeight="1">
      <c r="A94" s="10" t="s">
        <v>73</v>
      </c>
      <c r="B94" s="50" t="s">
        <v>100</v>
      </c>
      <c r="C94" s="12">
        <f>C26/C22</f>
        <v>0.13622509073980452</v>
      </c>
      <c r="D94" s="12">
        <f>'Industry Summary'!L51</f>
        <v>0.11618978422920279</v>
      </c>
      <c r="E94" s="12">
        <f>D26/D22</f>
        <v>8.0091947131691404E-2</v>
      </c>
      <c r="F94" s="12">
        <f>'Industry Summary'!L63</f>
        <v>0.19305876648692805</v>
      </c>
    </row>
    <row r="95" spans="1:12" ht="29.25" customHeight="1">
      <c r="A95" s="10" t="s">
        <v>101</v>
      </c>
      <c r="B95" s="50" t="s">
        <v>102</v>
      </c>
      <c r="C95" s="11">
        <f>C22/AVERAGE(C37,C21)</f>
        <v>0.98679613848587999</v>
      </c>
      <c r="D95" s="11">
        <f>'Industry Summary'!L100</f>
        <v>1.15981123610491</v>
      </c>
      <c r="E95" s="11">
        <f>D22/AVERAGE(C21,D21)</f>
        <v>0.93764353037316217</v>
      </c>
      <c r="F95" s="11">
        <f>'Industry Summary'!L107</f>
        <v>1.0467514310922286</v>
      </c>
    </row>
    <row r="96" spans="1:12" ht="36.75" customHeight="1">
      <c r="A96" s="10" t="s">
        <v>103</v>
      </c>
      <c r="B96" s="50" t="s">
        <v>104</v>
      </c>
      <c r="C96" s="11">
        <f>AVERAGE(C37,C21)/AVERAGE(C36,C20)</f>
        <v>1.2641315878146491</v>
      </c>
      <c r="D96" s="11">
        <f>'Industry Summary'!L101</f>
        <v>1.5300609788525232</v>
      </c>
      <c r="E96" s="11">
        <f>AVERAGE(C21,D21)/AVERAGE(C20,D20)</f>
        <v>1.2638056959118054</v>
      </c>
      <c r="F96" s="11">
        <f>'Industry Summary'!L108</f>
        <v>1.4416243000688247</v>
      </c>
    </row>
    <row r="97" spans="1:12" ht="48.6" customHeight="1">
      <c r="A97" s="2" t="s">
        <v>105</v>
      </c>
      <c r="B97" s="50" t="s">
        <v>106</v>
      </c>
      <c r="C97" s="14">
        <f>C94*C95*C96</f>
        <v>0.16993265026810933</v>
      </c>
      <c r="D97" s="14">
        <f>D94*D95*D96</f>
        <v>0.20618828982399792</v>
      </c>
      <c r="E97" s="14">
        <f>E94*E95*E96</f>
        <v>9.4908896034297974E-2</v>
      </c>
      <c r="F97" s="14">
        <f>F94*F95*F96</f>
        <v>0.29132998368373403</v>
      </c>
    </row>
    <row r="98" spans="1:12" ht="45.6" customHeight="1">
      <c r="A98" s="55" t="s">
        <v>166</v>
      </c>
      <c r="B98" s="81"/>
      <c r="C98" s="81"/>
      <c r="D98" s="81"/>
      <c r="E98" s="81"/>
      <c r="F98" s="81"/>
      <c r="G98" s="81"/>
      <c r="H98" s="81"/>
      <c r="I98" s="81"/>
      <c r="J98" s="81"/>
      <c r="K98" s="81"/>
      <c r="L98" s="81"/>
    </row>
    <row r="99" spans="1:12" ht="9" customHeight="1"/>
    <row r="100" spans="1:12" ht="26.85" customHeight="1">
      <c r="A100" s="56" t="s">
        <v>108</v>
      </c>
      <c r="B100" s="81"/>
      <c r="C100" s="81"/>
      <c r="D100" s="81"/>
      <c r="E100" s="81"/>
      <c r="F100" s="81"/>
      <c r="G100" s="81"/>
      <c r="H100" s="81"/>
      <c r="I100" s="81"/>
      <c r="J100" s="81"/>
      <c r="K100" s="81"/>
      <c r="L100" s="81"/>
    </row>
    <row r="101" spans="1:12" ht="35.1" customHeight="1">
      <c r="A101" s="55" t="s">
        <v>109</v>
      </c>
      <c r="B101" s="81"/>
      <c r="C101" s="81"/>
      <c r="D101" s="81"/>
      <c r="E101" s="81"/>
      <c r="F101" s="81"/>
      <c r="G101" s="81"/>
      <c r="H101" s="81"/>
      <c r="I101" s="81"/>
      <c r="J101" s="81"/>
      <c r="K101" s="81"/>
      <c r="L101" s="81"/>
    </row>
    <row r="103" spans="1:12" ht="56.1" customHeight="1">
      <c r="A103" s="55" t="s">
        <v>110</v>
      </c>
      <c r="B103" s="81"/>
      <c r="C103" s="81"/>
      <c r="D103" s="81"/>
      <c r="E103" s="81"/>
      <c r="F103" s="81"/>
      <c r="G103" s="81"/>
      <c r="H103" s="81"/>
      <c r="I103" s="81"/>
      <c r="J103" s="81"/>
      <c r="K103" s="81"/>
      <c r="L103" s="81"/>
    </row>
    <row r="105" spans="1:12" ht="21.95" customHeight="1">
      <c r="A105" s="5" t="s">
        <v>111</v>
      </c>
      <c r="B105" s="5" t="s">
        <v>58</v>
      </c>
      <c r="C105" s="5" t="s">
        <v>59</v>
      </c>
      <c r="D105" s="5" t="s">
        <v>60</v>
      </c>
      <c r="E105" s="5" t="s">
        <v>59</v>
      </c>
      <c r="F105" s="5" t="s">
        <v>60</v>
      </c>
    </row>
    <row r="106" spans="1:12" ht="36.75" customHeight="1">
      <c r="A106" s="10" t="s">
        <v>112</v>
      </c>
      <c r="B106" s="50" t="s">
        <v>113</v>
      </c>
      <c r="C106" s="12">
        <f>C26/C24</f>
        <v>0.7365012512530561</v>
      </c>
      <c r="D106" s="12">
        <f>'Industry Summary'!L116</f>
        <v>0.74455075714168328</v>
      </c>
      <c r="E106" s="12">
        <f>D26/D24</f>
        <v>0.73949248994881955</v>
      </c>
      <c r="F106" s="12">
        <f>'Industry Summary'!L127</f>
        <v>0.76399743065236247</v>
      </c>
    </row>
    <row r="107" spans="1:12" ht="36.75" customHeight="1">
      <c r="A107" s="10" t="s">
        <v>114</v>
      </c>
      <c r="B107" s="50" t="s">
        <v>115</v>
      </c>
      <c r="C107" s="12">
        <f>C24/(C24+C79)</f>
        <v>0.98923450096311627</v>
      </c>
      <c r="D107" s="12">
        <f>'Industry Summary'!L117</f>
        <v>0.97925395698897622</v>
      </c>
      <c r="E107" s="12">
        <f>D24/(D24+D79)</f>
        <v>0.9785085568863674</v>
      </c>
      <c r="F107" s="12">
        <f>'Industry Summary'!L128</f>
        <v>0.98174460403916297</v>
      </c>
    </row>
    <row r="108" spans="1:12" ht="29.25" customHeight="1">
      <c r="A108" s="10" t="s">
        <v>116</v>
      </c>
      <c r="B108" s="50" t="s">
        <v>117</v>
      </c>
      <c r="C108" s="12">
        <f>(C24+C79)/C22</f>
        <v>0.18697535318826522</v>
      </c>
      <c r="D108" s="12">
        <f>'Industry Summary'!L118</f>
        <v>0.15948466093114239</v>
      </c>
      <c r="E108" s="12">
        <f>(D24+D79)/D22</f>
        <v>0.11068542994587317</v>
      </c>
      <c r="F108" s="12">
        <f>'Industry Summary'!L129</f>
        <v>0.24689541654707003</v>
      </c>
    </row>
    <row r="109" spans="1:12" ht="48" customHeight="1">
      <c r="A109" s="10" t="s">
        <v>101</v>
      </c>
      <c r="B109" s="50" t="s">
        <v>118</v>
      </c>
      <c r="C109" s="11">
        <f>C95</f>
        <v>0.98679613848587999</v>
      </c>
      <c r="D109" s="11">
        <f>'Industry Summary'!L100</f>
        <v>1.15981123610491</v>
      </c>
      <c r="E109" s="11">
        <f>E95</f>
        <v>0.93764353037316217</v>
      </c>
      <c r="F109" s="11">
        <f>'Industry Summary'!L107</f>
        <v>1.0467514310922286</v>
      </c>
    </row>
    <row r="110" spans="1:12" ht="59.25" customHeight="1">
      <c r="A110" s="10" t="s">
        <v>103</v>
      </c>
      <c r="B110" s="50" t="s">
        <v>119</v>
      </c>
      <c r="C110" s="11">
        <f>C96</f>
        <v>1.2641315878146491</v>
      </c>
      <c r="D110" s="11">
        <f>'Industry Summary'!L101</f>
        <v>1.5300609788525232</v>
      </c>
      <c r="E110" s="11">
        <f>E96</f>
        <v>1.2638056959118054</v>
      </c>
      <c r="F110" s="11">
        <f>'Industry Summary'!L108</f>
        <v>1.4416243000688247</v>
      </c>
    </row>
    <row r="111" spans="1:12" ht="59.25" customHeight="1">
      <c r="A111" s="2" t="s">
        <v>120</v>
      </c>
      <c r="B111" s="50" t="s">
        <v>121</v>
      </c>
      <c r="C111" s="14">
        <f>C106*C107*C108*C109*C110</f>
        <v>0.16993265026810933</v>
      </c>
      <c r="D111" s="14">
        <f>D106*D107*D108*D109*D110</f>
        <v>0.20635006757934402</v>
      </c>
      <c r="E111" s="14">
        <f>E106*E107*E108*E109*E110</f>
        <v>9.4908896034297974E-2</v>
      </c>
      <c r="F111" s="14">
        <f>F106*F107*F108*F109*F110</f>
        <v>0.27944677766678511</v>
      </c>
    </row>
    <row r="112" spans="1:12" ht="70.5" customHeight="1">
      <c r="A112" s="10" t="s">
        <v>122</v>
      </c>
      <c r="B112" s="50" t="s">
        <v>123</v>
      </c>
      <c r="C112" s="12">
        <f>C60</f>
        <v>0.16993265026810936</v>
      </c>
      <c r="D112" s="12">
        <f>D60</f>
        <v>0.20662056251043043</v>
      </c>
      <c r="E112" s="12">
        <f>E60</f>
        <v>9.4908896034297974E-2</v>
      </c>
      <c r="F112" s="12">
        <f>F60</f>
        <v>0.33024034816826131</v>
      </c>
    </row>
    <row r="113" spans="1:12" ht="48" customHeight="1">
      <c r="A113" s="10" t="s">
        <v>124</v>
      </c>
      <c r="B113" s="50" t="s">
        <v>125</v>
      </c>
      <c r="C113" s="15">
        <f>C111-C112</f>
        <v>0</v>
      </c>
      <c r="D113" s="15">
        <f>D111-D112</f>
        <v>-2.7049493108641243E-4</v>
      </c>
      <c r="E113" s="15">
        <f>E111-E112</f>
        <v>0</v>
      </c>
      <c r="F113" s="15">
        <f>F111-F112</f>
        <v>-5.0793570501476204E-2</v>
      </c>
    </row>
    <row r="114" spans="1:12" ht="51" customHeight="1">
      <c r="A114" s="55" t="s">
        <v>126</v>
      </c>
      <c r="B114" s="81"/>
      <c r="C114" s="81"/>
      <c r="D114" s="81"/>
      <c r="E114" s="81"/>
      <c r="F114" s="81"/>
      <c r="G114" s="81"/>
      <c r="H114" s="81"/>
      <c r="I114" s="81"/>
      <c r="J114" s="81"/>
      <c r="K114" s="81"/>
      <c r="L114" s="81"/>
    </row>
    <row r="115" spans="1:12" ht="9" customHeight="1"/>
    <row r="116" spans="1:12" ht="26.85" customHeight="1">
      <c r="A116" s="56" t="s">
        <v>127</v>
      </c>
      <c r="B116" s="81"/>
      <c r="C116" s="81"/>
      <c r="D116" s="81"/>
      <c r="E116" s="81"/>
      <c r="F116" s="81"/>
      <c r="G116" s="81"/>
      <c r="H116" s="81"/>
      <c r="I116" s="81"/>
      <c r="J116" s="81"/>
      <c r="K116" s="81"/>
      <c r="L116" s="81"/>
    </row>
    <row r="117" spans="1:12" ht="36.6" customHeight="1">
      <c r="A117" s="3" t="s">
        <v>57</v>
      </c>
      <c r="B117" s="3" t="s">
        <v>128</v>
      </c>
      <c r="C117" s="3" t="s">
        <v>129</v>
      </c>
      <c r="D117" s="3" t="s">
        <v>130</v>
      </c>
      <c r="E117" s="3" t="s">
        <v>131</v>
      </c>
    </row>
    <row r="118" spans="1:12" ht="15" customHeight="1">
      <c r="A118" s="51" t="s">
        <v>61</v>
      </c>
      <c r="B118" s="52">
        <f t="shared" ref="B118:E120" si="0">C45</f>
        <v>4.0189850310332238</v>
      </c>
      <c r="C118" s="52">
        <f t="shared" si="0"/>
        <v>2.4353778229716396</v>
      </c>
      <c r="D118" s="52">
        <f t="shared" si="0"/>
        <v>3.7476688537501919</v>
      </c>
      <c r="E118" s="52">
        <f t="shared" si="0"/>
        <v>2.4275972449136276</v>
      </c>
    </row>
    <row r="119" spans="1:12" ht="15" customHeight="1">
      <c r="A119" s="51" t="s">
        <v>63</v>
      </c>
      <c r="B119" s="52">
        <f t="shared" si="0"/>
        <v>2.7685597321588098</v>
      </c>
      <c r="C119" s="52">
        <f t="shared" si="0"/>
        <v>1.5808142416651734</v>
      </c>
      <c r="D119" s="52">
        <f t="shared" si="0"/>
        <v>2.751186431627497</v>
      </c>
      <c r="E119" s="52">
        <f t="shared" si="0"/>
        <v>1.6811361655827657</v>
      </c>
    </row>
    <row r="120" spans="1:12" ht="15" customHeight="1">
      <c r="A120" s="51" t="s">
        <v>65</v>
      </c>
      <c r="B120" s="52">
        <f t="shared" si="0"/>
        <v>0.20215484763036676</v>
      </c>
      <c r="C120" s="52">
        <f t="shared" si="0"/>
        <v>0.15262563733347595</v>
      </c>
      <c r="D120" s="52">
        <f t="shared" si="0"/>
        <v>0.12821471241965304</v>
      </c>
      <c r="E120" s="52">
        <f t="shared" si="0"/>
        <v>0.11967228575278641</v>
      </c>
    </row>
    <row r="121" spans="1:12" ht="15" customHeight="1">
      <c r="A121" s="51" t="s">
        <v>68</v>
      </c>
      <c r="B121" s="52">
        <f t="shared" ref="B121:E122" si="1">C52</f>
        <v>0</v>
      </c>
      <c r="C121" s="52">
        <f t="shared" si="1"/>
        <v>4.2882759079160922E-4</v>
      </c>
      <c r="D121" s="52">
        <f t="shared" si="1"/>
        <v>0</v>
      </c>
      <c r="E121" s="52">
        <f t="shared" si="1"/>
        <v>1.1449284846758376E-2</v>
      </c>
    </row>
    <row r="122" spans="1:12" ht="15" customHeight="1">
      <c r="A122" s="51" t="s">
        <v>132</v>
      </c>
      <c r="B122" s="52">
        <f t="shared" si="1"/>
        <v>2.689189677407194E-2</v>
      </c>
      <c r="C122" s="52">
        <f t="shared" si="1"/>
        <v>4.8453002725657834E-2</v>
      </c>
      <c r="D122" s="52">
        <f t="shared" si="1"/>
        <v>3.2438390207548941E-2</v>
      </c>
      <c r="E122" s="52">
        <f t="shared" si="1"/>
        <v>5.3467726099874505E-2</v>
      </c>
    </row>
    <row r="123" spans="1:12" ht="15" customHeight="1"/>
    <row r="124" spans="1:12" ht="15" customHeight="1"/>
    <row r="125" spans="1:12" ht="15" customHeight="1"/>
    <row r="143" spans="1:5" ht="36.6" customHeight="1">
      <c r="A143" s="3" t="s">
        <v>57</v>
      </c>
      <c r="B143" s="3" t="s">
        <v>128</v>
      </c>
      <c r="C143" s="3" t="s">
        <v>129</v>
      </c>
      <c r="D143" s="3" t="s">
        <v>130</v>
      </c>
      <c r="E143" s="3" t="s">
        <v>131</v>
      </c>
    </row>
    <row r="144" spans="1:5" ht="15" customHeight="1">
      <c r="A144" s="51" t="s">
        <v>73</v>
      </c>
      <c r="B144" s="53">
        <f t="shared" ref="B144:E146" si="2">C58</f>
        <v>0.13622509073980452</v>
      </c>
      <c r="C144" s="53">
        <f t="shared" si="2"/>
        <v>0.11618978422920279</v>
      </c>
      <c r="D144" s="53">
        <f t="shared" si="2"/>
        <v>8.0091947131691404E-2</v>
      </c>
      <c r="E144" s="53">
        <f t="shared" si="2"/>
        <v>0.19305876648692805</v>
      </c>
    </row>
    <row r="145" spans="1:5" ht="15" customHeight="1">
      <c r="A145" s="51" t="s">
        <v>133</v>
      </c>
      <c r="B145" s="53">
        <f t="shared" si="2"/>
        <v>0.1344263935069277</v>
      </c>
      <c r="C145" s="53">
        <f t="shared" si="2"/>
        <v>0.13330559294801242</v>
      </c>
      <c r="D145" s="53">
        <f t="shared" si="2"/>
        <v>7.5097696063019789E-2</v>
      </c>
      <c r="E145" s="53">
        <f t="shared" si="2"/>
        <v>0.20609893209627583</v>
      </c>
    </row>
    <row r="146" spans="1:5" ht="15" customHeight="1">
      <c r="A146" s="51" t="s">
        <v>134</v>
      </c>
      <c r="B146" s="53">
        <f t="shared" si="2"/>
        <v>0.16993265026810936</v>
      </c>
      <c r="C146" s="53">
        <f t="shared" si="2"/>
        <v>0.20662056251043043</v>
      </c>
      <c r="D146" s="53">
        <f t="shared" si="2"/>
        <v>9.4908896034297974E-2</v>
      </c>
      <c r="E146" s="53">
        <f t="shared" si="2"/>
        <v>0.33024034816826131</v>
      </c>
    </row>
    <row r="149" spans="1:5" ht="16.5" customHeight="1"/>
    <row r="150" spans="1:5" ht="16.5" customHeight="1"/>
    <row r="151" spans="1:5" ht="14.25" customHeight="1"/>
    <row r="152" spans="1:5" ht="14.25" customHeight="1"/>
    <row r="153" spans="1:5" ht="14.25" customHeight="1"/>
    <row r="154" spans="1:5" ht="14.25" customHeight="1"/>
    <row r="155" spans="1:5" ht="14.25" customHeight="1"/>
    <row r="156" spans="1:5" ht="14.25" customHeight="1"/>
    <row r="158" spans="1:5" ht="16.5" customHeight="1"/>
    <row r="159" spans="1:5" ht="14.25" customHeight="1"/>
    <row r="160" spans="1:5" ht="14.25" customHeight="1"/>
    <row r="161" spans="1:12" ht="14.25" customHeight="1"/>
    <row r="162" spans="1:12" ht="14.25" customHeight="1"/>
    <row r="163" spans="1:12" ht="14.25" customHeight="1"/>
    <row r="164" spans="1:12" ht="14.25" customHeight="1"/>
    <row r="165" spans="1:12" ht="14.25" customHeight="1"/>
    <row r="167" spans="1:12" ht="9" customHeight="1"/>
    <row r="168" spans="1:12" ht="26.85" customHeight="1">
      <c r="A168" s="56" t="s">
        <v>135</v>
      </c>
      <c r="B168" s="81"/>
      <c r="C168" s="81"/>
      <c r="D168" s="81"/>
      <c r="E168" s="81"/>
      <c r="F168" s="81"/>
      <c r="G168" s="81"/>
      <c r="H168" s="81"/>
      <c r="I168" s="81"/>
      <c r="J168" s="81"/>
      <c r="K168" s="81"/>
      <c r="L168" s="81"/>
    </row>
    <row r="169" spans="1:12" ht="24.4" customHeight="1">
      <c r="A169" s="56" t="s">
        <v>136</v>
      </c>
      <c r="B169" s="81"/>
      <c r="C169" s="81"/>
      <c r="D169" s="81"/>
      <c r="E169" s="81"/>
      <c r="F169" s="81"/>
      <c r="G169" s="81"/>
      <c r="H169" s="81"/>
      <c r="I169" s="81"/>
      <c r="J169" s="81"/>
      <c r="K169" s="81"/>
      <c r="L169" s="81"/>
    </row>
    <row r="170" spans="1:12" ht="36.6" customHeight="1">
      <c r="A170" s="55" t="s">
        <v>137</v>
      </c>
      <c r="B170" s="81"/>
      <c r="C170" s="81"/>
      <c r="D170" s="81"/>
      <c r="E170" s="81"/>
      <c r="F170" s="81"/>
      <c r="G170" s="81"/>
      <c r="H170" s="81"/>
      <c r="I170" s="81"/>
      <c r="J170" s="81"/>
      <c r="K170" s="81"/>
      <c r="L170" s="81"/>
    </row>
    <row r="171" spans="1:12" ht="67.150000000000006" customHeight="1">
      <c r="A171" s="55" t="s">
        <v>138</v>
      </c>
      <c r="B171" s="81"/>
      <c r="C171" s="81"/>
      <c r="D171" s="81"/>
      <c r="E171" s="81"/>
      <c r="F171" s="81"/>
      <c r="G171" s="81"/>
      <c r="H171" s="81"/>
      <c r="I171" s="81"/>
      <c r="J171" s="81"/>
      <c r="K171" s="81"/>
      <c r="L171" s="81"/>
    </row>
    <row r="172" spans="1:12" ht="51.95" customHeight="1">
      <c r="A172" s="55" t="s">
        <v>139</v>
      </c>
      <c r="B172" s="81"/>
      <c r="C172" s="81"/>
      <c r="D172" s="81"/>
      <c r="E172" s="81"/>
      <c r="F172" s="81"/>
      <c r="G172" s="81"/>
      <c r="H172" s="81"/>
      <c r="I172" s="81"/>
      <c r="J172" s="81"/>
      <c r="K172" s="81"/>
      <c r="L172" s="81"/>
    </row>
    <row r="173" spans="1:12" ht="51.95" customHeight="1">
      <c r="A173" s="55" t="s">
        <v>140</v>
      </c>
      <c r="B173" s="81"/>
      <c r="C173" s="81"/>
      <c r="D173" s="81"/>
      <c r="E173" s="81"/>
      <c r="F173" s="81"/>
      <c r="G173" s="81"/>
      <c r="H173" s="81"/>
      <c r="I173" s="81"/>
      <c r="J173" s="81"/>
      <c r="K173" s="81"/>
      <c r="L173" s="81"/>
    </row>
    <row r="174" spans="1:12" ht="36.6" customHeight="1">
      <c r="A174" s="55" t="s">
        <v>141</v>
      </c>
      <c r="B174" s="81"/>
      <c r="C174" s="81"/>
      <c r="D174" s="81"/>
      <c r="E174" s="81"/>
      <c r="F174" s="81"/>
      <c r="G174" s="81"/>
      <c r="H174" s="81"/>
      <c r="I174" s="81"/>
      <c r="J174" s="81"/>
      <c r="K174" s="81"/>
      <c r="L174" s="81"/>
    </row>
    <row r="175" spans="1:12" ht="9" customHeight="1"/>
    <row r="176" spans="1:12" ht="21.95" customHeight="1">
      <c r="A176" s="56" t="s">
        <v>142</v>
      </c>
      <c r="B176" s="81"/>
      <c r="C176" s="81"/>
      <c r="D176" s="81"/>
      <c r="E176" s="81"/>
      <c r="F176" s="81"/>
      <c r="G176" s="81"/>
      <c r="H176" s="81"/>
      <c r="I176" s="81"/>
      <c r="J176" s="81"/>
      <c r="K176" s="81"/>
      <c r="L176" s="81"/>
    </row>
    <row r="177" spans="1:12" ht="16.5" customHeight="1">
      <c r="A177" s="6" t="s">
        <v>143</v>
      </c>
    </row>
    <row r="178" spans="1:12" ht="7.7" customHeight="1">
      <c r="A178" s="60" t="s">
        <v>167</v>
      </c>
      <c r="B178" s="85"/>
      <c r="C178" s="85"/>
      <c r="D178" s="85"/>
      <c r="E178" s="85"/>
      <c r="F178" s="85"/>
      <c r="G178" s="85"/>
      <c r="H178" s="85"/>
      <c r="I178" s="85"/>
      <c r="J178" s="85"/>
      <c r="K178" s="85"/>
      <c r="L178" s="85"/>
    </row>
    <row r="179" spans="1:12" ht="7.7" customHeight="1">
      <c r="A179" s="86"/>
      <c r="B179" s="81"/>
      <c r="C179" s="81"/>
      <c r="D179" s="81"/>
      <c r="E179" s="81"/>
      <c r="F179" s="81"/>
      <c r="G179" s="81"/>
      <c r="H179" s="81"/>
      <c r="I179" s="81"/>
      <c r="J179" s="81"/>
      <c r="K179" s="81"/>
      <c r="L179" s="81"/>
    </row>
    <row r="180" spans="1:12" ht="7.7" customHeight="1">
      <c r="A180" s="86"/>
      <c r="B180" s="81"/>
      <c r="C180" s="81"/>
      <c r="D180" s="81"/>
      <c r="E180" s="81"/>
      <c r="F180" s="81"/>
      <c r="G180" s="81"/>
      <c r="H180" s="81"/>
      <c r="I180" s="81"/>
      <c r="J180" s="81"/>
      <c r="K180" s="81"/>
      <c r="L180" s="81"/>
    </row>
    <row r="181" spans="1:12" ht="7.7" customHeight="1">
      <c r="A181" s="86"/>
      <c r="B181" s="81"/>
      <c r="C181" s="81"/>
      <c r="D181" s="81"/>
      <c r="E181" s="81"/>
      <c r="F181" s="81"/>
      <c r="G181" s="81"/>
      <c r="H181" s="81"/>
      <c r="I181" s="81"/>
      <c r="J181" s="81"/>
      <c r="K181" s="81"/>
      <c r="L181" s="81"/>
    </row>
    <row r="182" spans="1:12" ht="7.7" customHeight="1">
      <c r="A182" s="86"/>
      <c r="B182" s="81"/>
      <c r="C182" s="81"/>
      <c r="D182" s="81"/>
      <c r="E182" s="81"/>
      <c r="F182" s="81"/>
      <c r="G182" s="81"/>
      <c r="H182" s="81"/>
      <c r="I182" s="81"/>
      <c r="J182" s="81"/>
      <c r="K182" s="81"/>
      <c r="L182" s="81"/>
    </row>
    <row r="183" spans="1:12" ht="7.7" customHeight="1">
      <c r="A183" s="86"/>
      <c r="B183" s="81"/>
      <c r="C183" s="81"/>
      <c r="D183" s="81"/>
      <c r="E183" s="81"/>
      <c r="F183" s="81"/>
      <c r="G183" s="81"/>
      <c r="H183" s="81"/>
      <c r="I183" s="81"/>
      <c r="J183" s="81"/>
      <c r="K183" s="81"/>
      <c r="L183" s="81"/>
    </row>
    <row r="184" spans="1:12" ht="7.7" customHeight="1">
      <c r="A184" s="86"/>
      <c r="B184" s="81"/>
      <c r="C184" s="81"/>
      <c r="D184" s="81"/>
      <c r="E184" s="81"/>
      <c r="F184" s="81"/>
      <c r="G184" s="81"/>
      <c r="H184" s="81"/>
      <c r="I184" s="81"/>
      <c r="J184" s="81"/>
      <c r="K184" s="81"/>
      <c r="L184" s="81"/>
    </row>
    <row r="185" spans="1:12" ht="7.7" customHeight="1">
      <c r="A185" s="86"/>
      <c r="B185" s="81"/>
      <c r="C185" s="81"/>
      <c r="D185" s="81"/>
      <c r="E185" s="81"/>
      <c r="F185" s="81"/>
      <c r="G185" s="81"/>
      <c r="H185" s="81"/>
      <c r="I185" s="81"/>
      <c r="J185" s="81"/>
      <c r="K185" s="81"/>
      <c r="L185" s="81"/>
    </row>
    <row r="186" spans="1:12" ht="7.7" customHeight="1">
      <c r="A186" s="86"/>
      <c r="B186" s="81"/>
      <c r="C186" s="81"/>
      <c r="D186" s="81"/>
      <c r="E186" s="81"/>
      <c r="F186" s="81"/>
      <c r="G186" s="81"/>
      <c r="H186" s="81"/>
      <c r="I186" s="81"/>
      <c r="J186" s="81"/>
      <c r="K186" s="81"/>
      <c r="L186" s="81"/>
    </row>
    <row r="187" spans="1:12" ht="7.7" customHeight="1">
      <c r="A187" s="86"/>
      <c r="B187" s="81"/>
      <c r="C187" s="81"/>
      <c r="D187" s="81"/>
      <c r="E187" s="81"/>
      <c r="F187" s="81"/>
      <c r="G187" s="81"/>
      <c r="H187" s="81"/>
      <c r="I187" s="81"/>
      <c r="J187" s="81"/>
      <c r="K187" s="81"/>
      <c r="L187" s="81"/>
    </row>
    <row r="188" spans="1:12" ht="7.7" customHeight="1">
      <c r="A188" s="86"/>
      <c r="B188" s="81"/>
      <c r="C188" s="81"/>
      <c r="D188" s="81"/>
      <c r="E188" s="81"/>
      <c r="F188" s="81"/>
      <c r="G188" s="81"/>
      <c r="H188" s="81"/>
      <c r="I188" s="81"/>
      <c r="J188" s="81"/>
      <c r="K188" s="81"/>
      <c r="L188" s="81"/>
    </row>
    <row r="189" spans="1:12" ht="25.5" customHeight="1">
      <c r="A189" s="86"/>
      <c r="B189" s="81"/>
      <c r="C189" s="81"/>
      <c r="D189" s="81"/>
      <c r="E189" s="81"/>
      <c r="F189" s="81"/>
      <c r="G189" s="81"/>
      <c r="H189" s="81"/>
      <c r="I189" s="81"/>
      <c r="J189" s="81"/>
      <c r="K189" s="81"/>
      <c r="L189" s="81"/>
    </row>
    <row r="190" spans="1:12" ht="14.25" customHeight="1"/>
    <row r="191" spans="1:12" ht="16.5" customHeight="1">
      <c r="A191" s="6" t="s">
        <v>145</v>
      </c>
    </row>
    <row r="192" spans="1:12" ht="8.85" customHeight="1">
      <c r="A192" s="60" t="s">
        <v>168</v>
      </c>
      <c r="B192" s="85"/>
      <c r="C192" s="85"/>
      <c r="D192" s="85"/>
      <c r="E192" s="85"/>
      <c r="F192" s="85"/>
      <c r="G192" s="85"/>
      <c r="H192" s="85"/>
      <c r="I192" s="85"/>
      <c r="J192" s="85"/>
      <c r="K192" s="85"/>
      <c r="L192" s="85"/>
    </row>
    <row r="193" spans="1:12" ht="8.85" customHeight="1">
      <c r="A193" s="86"/>
      <c r="B193" s="81"/>
      <c r="C193" s="81"/>
      <c r="D193" s="81"/>
      <c r="E193" s="81"/>
      <c r="F193" s="81"/>
      <c r="G193" s="81"/>
      <c r="H193" s="81"/>
      <c r="I193" s="81"/>
      <c r="J193" s="81"/>
      <c r="K193" s="81"/>
      <c r="L193" s="81"/>
    </row>
    <row r="194" spans="1:12" ht="8.85" customHeight="1">
      <c r="A194" s="86"/>
      <c r="B194" s="81"/>
      <c r="C194" s="81"/>
      <c r="D194" s="81"/>
      <c r="E194" s="81"/>
      <c r="F194" s="81"/>
      <c r="G194" s="81"/>
      <c r="H194" s="81"/>
      <c r="I194" s="81"/>
      <c r="J194" s="81"/>
      <c r="K194" s="81"/>
      <c r="L194" s="81"/>
    </row>
    <row r="195" spans="1:12" ht="8.85" customHeight="1">
      <c r="A195" s="86"/>
      <c r="B195" s="81"/>
      <c r="C195" s="81"/>
      <c r="D195" s="81"/>
      <c r="E195" s="81"/>
      <c r="F195" s="81"/>
      <c r="G195" s="81"/>
      <c r="H195" s="81"/>
      <c r="I195" s="81"/>
      <c r="J195" s="81"/>
      <c r="K195" s="81"/>
      <c r="L195" s="81"/>
    </row>
    <row r="196" spans="1:12" ht="8.85" customHeight="1">
      <c r="A196" s="86"/>
      <c r="B196" s="81"/>
      <c r="C196" s="81"/>
      <c r="D196" s="81"/>
      <c r="E196" s="81"/>
      <c r="F196" s="81"/>
      <c r="G196" s="81"/>
      <c r="H196" s="81"/>
      <c r="I196" s="81"/>
      <c r="J196" s="81"/>
      <c r="K196" s="81"/>
      <c r="L196" s="81"/>
    </row>
    <row r="197" spans="1:12" ht="8.85" customHeight="1">
      <c r="A197" s="86"/>
      <c r="B197" s="81"/>
      <c r="C197" s="81"/>
      <c r="D197" s="81"/>
      <c r="E197" s="81"/>
      <c r="F197" s="81"/>
      <c r="G197" s="81"/>
      <c r="H197" s="81"/>
      <c r="I197" s="81"/>
      <c r="J197" s="81"/>
      <c r="K197" s="81"/>
      <c r="L197" s="81"/>
    </row>
    <row r="198" spans="1:12" ht="8.85" customHeight="1">
      <c r="A198" s="86"/>
      <c r="B198" s="81"/>
      <c r="C198" s="81"/>
      <c r="D198" s="81"/>
      <c r="E198" s="81"/>
      <c r="F198" s="81"/>
      <c r="G198" s="81"/>
      <c r="H198" s="81"/>
      <c r="I198" s="81"/>
      <c r="J198" s="81"/>
      <c r="K198" s="81"/>
      <c r="L198" s="81"/>
    </row>
    <row r="199" spans="1:12" ht="8.85" customHeight="1">
      <c r="A199" s="86"/>
      <c r="B199" s="81"/>
      <c r="C199" s="81"/>
      <c r="D199" s="81"/>
      <c r="E199" s="81"/>
      <c r="F199" s="81"/>
      <c r="G199" s="81"/>
      <c r="H199" s="81"/>
      <c r="I199" s="81"/>
      <c r="J199" s="81"/>
      <c r="K199" s="81"/>
      <c r="L199" s="81"/>
    </row>
    <row r="200" spans="1:12" ht="8.85" customHeight="1">
      <c r="A200" s="86"/>
      <c r="B200" s="81"/>
      <c r="C200" s="81"/>
      <c r="D200" s="81"/>
      <c r="E200" s="81"/>
      <c r="F200" s="81"/>
      <c r="G200" s="81"/>
      <c r="H200" s="81"/>
      <c r="I200" s="81"/>
      <c r="J200" s="81"/>
      <c r="K200" s="81"/>
      <c r="L200" s="81"/>
    </row>
    <row r="201" spans="1:12" ht="8.85" customHeight="1">
      <c r="A201" s="86"/>
      <c r="B201" s="81"/>
      <c r="C201" s="81"/>
      <c r="D201" s="81"/>
      <c r="E201" s="81"/>
      <c r="F201" s="81"/>
      <c r="G201" s="81"/>
      <c r="H201" s="81"/>
      <c r="I201" s="81"/>
      <c r="J201" s="81"/>
      <c r="K201" s="81"/>
      <c r="L201" s="81"/>
    </row>
    <row r="202" spans="1:12" ht="8.85" customHeight="1">
      <c r="A202" s="86"/>
      <c r="B202" s="81"/>
      <c r="C202" s="81"/>
      <c r="D202" s="81"/>
      <c r="E202" s="81"/>
      <c r="F202" s="81"/>
      <c r="G202" s="81"/>
      <c r="H202" s="81"/>
      <c r="I202" s="81"/>
      <c r="J202" s="81"/>
      <c r="K202" s="81"/>
      <c r="L202" s="81"/>
    </row>
    <row r="203" spans="1:12" ht="8.85" customHeight="1">
      <c r="A203" s="86"/>
      <c r="B203" s="81"/>
      <c r="C203" s="81"/>
      <c r="D203" s="81"/>
      <c r="E203" s="81"/>
      <c r="F203" s="81"/>
      <c r="G203" s="81"/>
      <c r="H203" s="81"/>
      <c r="I203" s="81"/>
      <c r="J203" s="81"/>
      <c r="K203" s="81"/>
      <c r="L203" s="81"/>
    </row>
    <row r="204" spans="1:12" ht="12" customHeight="1"/>
    <row r="205" spans="1:12" ht="16.5" customHeight="1">
      <c r="A205" s="6" t="s">
        <v>147</v>
      </c>
    </row>
    <row r="206" spans="1:12" ht="7.7" customHeight="1">
      <c r="A206" s="60" t="s">
        <v>169</v>
      </c>
      <c r="B206" s="85"/>
      <c r="C206" s="85"/>
      <c r="D206" s="85"/>
      <c r="E206" s="85"/>
      <c r="F206" s="85"/>
      <c r="G206" s="85"/>
      <c r="H206" s="85"/>
      <c r="I206" s="85"/>
      <c r="J206" s="85"/>
      <c r="K206" s="85"/>
      <c r="L206" s="85"/>
    </row>
    <row r="207" spans="1:12" ht="7.7" customHeight="1">
      <c r="A207" s="86"/>
      <c r="B207" s="81"/>
      <c r="C207" s="81"/>
      <c r="D207" s="81"/>
      <c r="E207" s="81"/>
      <c r="F207" s="81"/>
      <c r="G207" s="81"/>
      <c r="H207" s="81"/>
      <c r="I207" s="81"/>
      <c r="J207" s="81"/>
      <c r="K207" s="81"/>
      <c r="L207" s="81"/>
    </row>
    <row r="208" spans="1:12" ht="7.7" customHeight="1">
      <c r="A208" s="86"/>
      <c r="B208" s="81"/>
      <c r="C208" s="81"/>
      <c r="D208" s="81"/>
      <c r="E208" s="81"/>
      <c r="F208" s="81"/>
      <c r="G208" s="81"/>
      <c r="H208" s="81"/>
      <c r="I208" s="81"/>
      <c r="J208" s="81"/>
      <c r="K208" s="81"/>
      <c r="L208" s="81"/>
    </row>
    <row r="209" spans="1:12" ht="7.7" customHeight="1">
      <c r="A209" s="86"/>
      <c r="B209" s="81"/>
      <c r="C209" s="81"/>
      <c r="D209" s="81"/>
      <c r="E209" s="81"/>
      <c r="F209" s="81"/>
      <c r="G209" s="81"/>
      <c r="H209" s="81"/>
      <c r="I209" s="81"/>
      <c r="J209" s="81"/>
      <c r="K209" s="81"/>
      <c r="L209" s="81"/>
    </row>
    <row r="210" spans="1:12" ht="7.7" customHeight="1">
      <c r="A210" s="86"/>
      <c r="B210" s="81"/>
      <c r="C210" s="81"/>
      <c r="D210" s="81"/>
      <c r="E210" s="81"/>
      <c r="F210" s="81"/>
      <c r="G210" s="81"/>
      <c r="H210" s="81"/>
      <c r="I210" s="81"/>
      <c r="J210" s="81"/>
      <c r="K210" s="81"/>
      <c r="L210" s="81"/>
    </row>
    <row r="211" spans="1:12" ht="7.7" customHeight="1">
      <c r="A211" s="86"/>
      <c r="B211" s="81"/>
      <c r="C211" s="81"/>
      <c r="D211" s="81"/>
      <c r="E211" s="81"/>
      <c r="F211" s="81"/>
      <c r="G211" s="81"/>
      <c r="H211" s="81"/>
      <c r="I211" s="81"/>
      <c r="J211" s="81"/>
      <c r="K211" s="81"/>
      <c r="L211" s="81"/>
    </row>
    <row r="212" spans="1:12" ht="7.7" customHeight="1">
      <c r="A212" s="86"/>
      <c r="B212" s="81"/>
      <c r="C212" s="81"/>
      <c r="D212" s="81"/>
      <c r="E212" s="81"/>
      <c r="F212" s="81"/>
      <c r="G212" s="81"/>
      <c r="H212" s="81"/>
      <c r="I212" s="81"/>
      <c r="J212" s="81"/>
      <c r="K212" s="81"/>
      <c r="L212" s="81"/>
    </row>
    <row r="213" spans="1:12" ht="7.7" customHeight="1">
      <c r="A213" s="86"/>
      <c r="B213" s="81"/>
      <c r="C213" s="81"/>
      <c r="D213" s="81"/>
      <c r="E213" s="81"/>
      <c r="F213" s="81"/>
      <c r="G213" s="81"/>
      <c r="H213" s="81"/>
      <c r="I213" s="81"/>
      <c r="J213" s="81"/>
      <c r="K213" s="81"/>
      <c r="L213" s="81"/>
    </row>
    <row r="214" spans="1:12" ht="7.7" customHeight="1">
      <c r="A214" s="86"/>
      <c r="B214" s="81"/>
      <c r="C214" s="81"/>
      <c r="D214" s="81"/>
      <c r="E214" s="81"/>
      <c r="F214" s="81"/>
      <c r="G214" s="81"/>
      <c r="H214" s="81"/>
      <c r="I214" s="81"/>
      <c r="J214" s="81"/>
      <c r="K214" s="81"/>
      <c r="L214" s="81"/>
    </row>
    <row r="215" spans="1:12" ht="7.7" customHeight="1">
      <c r="A215" s="86"/>
      <c r="B215" s="81"/>
      <c r="C215" s="81"/>
      <c r="D215" s="81"/>
      <c r="E215" s="81"/>
      <c r="F215" s="81"/>
      <c r="G215" s="81"/>
      <c r="H215" s="81"/>
      <c r="I215" s="81"/>
      <c r="J215" s="81"/>
      <c r="K215" s="81"/>
      <c r="L215" s="81"/>
    </row>
    <row r="216" spans="1:12" ht="7.7" customHeight="1">
      <c r="A216" s="86"/>
      <c r="B216" s="81"/>
      <c r="C216" s="81"/>
      <c r="D216" s="81"/>
      <c r="E216" s="81"/>
      <c r="F216" s="81"/>
      <c r="G216" s="81"/>
      <c r="H216" s="81"/>
      <c r="I216" s="81"/>
      <c r="J216" s="81"/>
      <c r="K216" s="81"/>
      <c r="L216" s="81"/>
    </row>
    <row r="217" spans="1:12" ht="16.5" customHeight="1">
      <c r="A217" s="86"/>
      <c r="B217" s="81"/>
      <c r="C217" s="81"/>
      <c r="D217" s="81"/>
      <c r="E217" s="81"/>
      <c r="F217" s="81"/>
      <c r="G217" s="81"/>
      <c r="H217" s="81"/>
      <c r="I217" s="81"/>
      <c r="J217" s="81"/>
      <c r="K217" s="81"/>
      <c r="L217" s="81"/>
    </row>
    <row r="219" spans="1:12" ht="16.5" customHeight="1">
      <c r="A219" s="6" t="s">
        <v>149</v>
      </c>
    </row>
    <row r="220" spans="1:12" ht="8.4499999999999993" customHeight="1">
      <c r="A220" s="60" t="s">
        <v>170</v>
      </c>
      <c r="B220" s="85"/>
      <c r="C220" s="85"/>
      <c r="D220" s="85"/>
      <c r="E220" s="85"/>
      <c r="F220" s="85"/>
      <c r="G220" s="85"/>
      <c r="H220" s="85"/>
      <c r="I220" s="85"/>
      <c r="J220" s="85"/>
      <c r="K220" s="85"/>
      <c r="L220" s="85"/>
    </row>
    <row r="221" spans="1:12" ht="8.4499999999999993" customHeight="1">
      <c r="A221" s="86"/>
      <c r="B221" s="81"/>
      <c r="C221" s="81"/>
      <c r="D221" s="81"/>
      <c r="E221" s="81"/>
      <c r="F221" s="81"/>
      <c r="G221" s="81"/>
      <c r="H221" s="81"/>
      <c r="I221" s="81"/>
      <c r="J221" s="81"/>
      <c r="K221" s="81"/>
      <c r="L221" s="81"/>
    </row>
    <row r="222" spans="1:12" ht="8.4499999999999993" customHeight="1">
      <c r="A222" s="86"/>
      <c r="B222" s="81"/>
      <c r="C222" s="81"/>
      <c r="D222" s="81"/>
      <c r="E222" s="81"/>
      <c r="F222" s="81"/>
      <c r="G222" s="81"/>
      <c r="H222" s="81"/>
      <c r="I222" s="81"/>
      <c r="J222" s="81"/>
      <c r="K222" s="81"/>
      <c r="L222" s="81"/>
    </row>
    <row r="223" spans="1:12" ht="8.4499999999999993" customHeight="1">
      <c r="A223" s="86"/>
      <c r="B223" s="81"/>
      <c r="C223" s="81"/>
      <c r="D223" s="81"/>
      <c r="E223" s="81"/>
      <c r="F223" s="81"/>
      <c r="G223" s="81"/>
      <c r="H223" s="81"/>
      <c r="I223" s="81"/>
      <c r="J223" s="81"/>
      <c r="K223" s="81"/>
      <c r="L223" s="81"/>
    </row>
    <row r="224" spans="1:12" ht="8.4499999999999993" customHeight="1">
      <c r="A224" s="86"/>
      <c r="B224" s="81"/>
      <c r="C224" s="81"/>
      <c r="D224" s="81"/>
      <c r="E224" s="81"/>
      <c r="F224" s="81"/>
      <c r="G224" s="81"/>
      <c r="H224" s="81"/>
      <c r="I224" s="81"/>
      <c r="J224" s="81"/>
      <c r="K224" s="81"/>
      <c r="L224" s="81"/>
    </row>
    <row r="225" spans="1:12" ht="8.4499999999999993" customHeight="1">
      <c r="A225" s="86"/>
      <c r="B225" s="81"/>
      <c r="C225" s="81"/>
      <c r="D225" s="81"/>
      <c r="E225" s="81"/>
      <c r="F225" s="81"/>
      <c r="G225" s="81"/>
      <c r="H225" s="81"/>
      <c r="I225" s="81"/>
      <c r="J225" s="81"/>
      <c r="K225" s="81"/>
      <c r="L225" s="81"/>
    </row>
    <row r="226" spans="1:12" ht="8.4499999999999993" customHeight="1">
      <c r="A226" s="86"/>
      <c r="B226" s="81"/>
      <c r="C226" s="81"/>
      <c r="D226" s="81"/>
      <c r="E226" s="81"/>
      <c r="F226" s="81"/>
      <c r="G226" s="81"/>
      <c r="H226" s="81"/>
      <c r="I226" s="81"/>
      <c r="J226" s="81"/>
      <c r="K226" s="81"/>
      <c r="L226" s="81"/>
    </row>
    <row r="227" spans="1:12" ht="8.4499999999999993" customHeight="1">
      <c r="A227" s="86"/>
      <c r="B227" s="81"/>
      <c r="C227" s="81"/>
      <c r="D227" s="81"/>
      <c r="E227" s="81"/>
      <c r="F227" s="81"/>
      <c r="G227" s="81"/>
      <c r="H227" s="81"/>
      <c r="I227" s="81"/>
      <c r="J227" s="81"/>
      <c r="K227" s="81"/>
      <c r="L227" s="81"/>
    </row>
    <row r="228" spans="1:12" ht="8.1" customHeight="1">
      <c r="A228" s="86"/>
      <c r="B228" s="81"/>
      <c r="C228" s="81"/>
      <c r="D228" s="81"/>
      <c r="E228" s="81"/>
      <c r="F228" s="81"/>
      <c r="G228" s="81"/>
      <c r="H228" s="81"/>
      <c r="I228" s="81"/>
      <c r="J228" s="81"/>
      <c r="K228" s="81"/>
      <c r="L228" s="81"/>
    </row>
    <row r="229" spans="1:12" ht="8.4499999999999993" hidden="1" customHeight="1">
      <c r="A229" s="86"/>
      <c r="B229" s="81"/>
      <c r="C229" s="81"/>
      <c r="D229" s="81"/>
      <c r="E229" s="81"/>
      <c r="F229" s="81"/>
      <c r="G229" s="81"/>
      <c r="H229" s="81"/>
      <c r="I229" s="81"/>
      <c r="J229" s="81"/>
      <c r="K229" s="81"/>
      <c r="L229" s="81"/>
    </row>
    <row r="230" spans="1:12" ht="22.5" hidden="1" customHeight="1">
      <c r="A230" s="86"/>
      <c r="B230" s="81"/>
      <c r="C230" s="81"/>
      <c r="D230" s="81"/>
      <c r="E230" s="81"/>
      <c r="F230" s="81"/>
      <c r="G230" s="81"/>
      <c r="H230" s="81"/>
      <c r="I230" s="81"/>
      <c r="J230" s="81"/>
      <c r="K230" s="81"/>
      <c r="L230" s="81"/>
    </row>
    <row r="233" spans="1:12" ht="9.1999999999999993" customHeight="1">
      <c r="A233" s="55" t="s">
        <v>171</v>
      </c>
      <c r="B233" s="81"/>
      <c r="C233" s="81"/>
      <c r="D233" s="81"/>
      <c r="E233" s="81"/>
      <c r="F233" s="81"/>
      <c r="G233" s="81"/>
      <c r="H233" s="81"/>
      <c r="I233" s="81"/>
      <c r="J233" s="81"/>
      <c r="K233" s="81"/>
      <c r="L233" s="81"/>
    </row>
    <row r="234" spans="1:12" ht="9.1999999999999993" customHeight="1">
      <c r="A234" s="81"/>
      <c r="B234" s="81"/>
      <c r="C234" s="81"/>
      <c r="D234" s="81"/>
      <c r="E234" s="81"/>
      <c r="F234" s="81"/>
      <c r="G234" s="81"/>
      <c r="H234" s="81"/>
      <c r="I234" s="81"/>
      <c r="J234" s="81"/>
      <c r="K234" s="81"/>
      <c r="L234" s="81"/>
    </row>
    <row r="235" spans="1:12" ht="9.1999999999999993" customHeight="1">
      <c r="A235" s="81"/>
      <c r="B235" s="81"/>
      <c r="C235" s="81"/>
      <c r="D235" s="81"/>
      <c r="E235" s="81"/>
      <c r="F235" s="81"/>
      <c r="G235" s="81"/>
      <c r="H235" s="81"/>
      <c r="I235" s="81"/>
      <c r="J235" s="81"/>
      <c r="K235" s="81"/>
      <c r="L235" s="81"/>
    </row>
    <row r="236" spans="1:12" ht="9.1999999999999993" customHeight="1">
      <c r="A236" s="81"/>
      <c r="B236" s="81"/>
      <c r="C236" s="81"/>
      <c r="D236" s="81"/>
      <c r="E236" s="81"/>
      <c r="F236" s="81"/>
      <c r="G236" s="81"/>
      <c r="H236" s="81"/>
      <c r="I236" s="81"/>
      <c r="J236" s="81"/>
      <c r="K236" s="81"/>
      <c r="L236" s="81"/>
    </row>
    <row r="237" spans="1:12" ht="9.1999999999999993" customHeight="1">
      <c r="A237" s="81"/>
      <c r="B237" s="81"/>
      <c r="C237" s="81"/>
      <c r="D237" s="81"/>
      <c r="E237" s="81"/>
      <c r="F237" s="81"/>
      <c r="G237" s="81"/>
      <c r="H237" s="81"/>
      <c r="I237" s="81"/>
      <c r="J237" s="81"/>
      <c r="K237" s="81"/>
      <c r="L237" s="81"/>
    </row>
    <row r="238" spans="1:12" ht="9.1999999999999993" customHeight="1">
      <c r="A238" s="81"/>
      <c r="B238" s="81"/>
      <c r="C238" s="81"/>
      <c r="D238" s="81"/>
      <c r="E238" s="81"/>
      <c r="F238" s="81"/>
      <c r="G238" s="81"/>
      <c r="H238" s="81"/>
      <c r="I238" s="81"/>
      <c r="J238" s="81"/>
      <c r="K238" s="81"/>
      <c r="L238" s="81"/>
    </row>
    <row r="239" spans="1:12" ht="9.1999999999999993" customHeight="1">
      <c r="A239" s="81"/>
      <c r="B239" s="81"/>
      <c r="C239" s="81"/>
      <c r="D239" s="81"/>
      <c r="E239" s="81"/>
      <c r="F239" s="81"/>
      <c r="G239" s="81"/>
      <c r="H239" s="81"/>
      <c r="I239" s="81"/>
      <c r="J239" s="81"/>
      <c r="K239" s="81"/>
      <c r="L239" s="81"/>
    </row>
    <row r="240" spans="1:12" ht="9.1999999999999993" customHeight="1">
      <c r="A240" s="81"/>
      <c r="B240" s="81"/>
      <c r="C240" s="81"/>
      <c r="D240" s="81"/>
      <c r="E240" s="81"/>
      <c r="F240" s="81"/>
      <c r="G240" s="81"/>
      <c r="H240" s="81"/>
      <c r="I240" s="81"/>
      <c r="J240" s="81"/>
      <c r="K240" s="81"/>
      <c r="L240" s="81"/>
    </row>
    <row r="241" spans="1:12" ht="9.1999999999999993" customHeight="1">
      <c r="A241" s="81"/>
      <c r="B241" s="81"/>
      <c r="C241" s="81"/>
      <c r="D241" s="81"/>
      <c r="E241" s="81"/>
      <c r="F241" s="81"/>
      <c r="G241" s="81"/>
      <c r="H241" s="81"/>
      <c r="I241" s="81"/>
      <c r="J241" s="81"/>
      <c r="K241" s="81"/>
      <c r="L241" s="81"/>
    </row>
    <row r="242" spans="1:12" ht="9.1999999999999993" customHeight="1">
      <c r="A242" s="81"/>
      <c r="B242" s="81"/>
      <c r="C242" s="81"/>
      <c r="D242" s="81"/>
      <c r="E242" s="81"/>
      <c r="F242" s="81"/>
      <c r="G242" s="81"/>
      <c r="H242" s="81"/>
      <c r="I242" s="81"/>
      <c r="J242" s="81"/>
      <c r="K242" s="81"/>
      <c r="L242" s="81"/>
    </row>
    <row r="243" spans="1:12" ht="9.1999999999999993" customHeight="1">
      <c r="A243" s="81"/>
      <c r="B243" s="81"/>
      <c r="C243" s="81"/>
      <c r="D243" s="81"/>
      <c r="E243" s="81"/>
      <c r="F243" s="81"/>
      <c r="G243" s="81"/>
      <c r="H243" s="81"/>
      <c r="I243" s="81"/>
      <c r="J243" s="81"/>
      <c r="K243" s="81"/>
      <c r="L243" s="81"/>
    </row>
    <row r="244" spans="1:12" ht="9.1999999999999993" customHeight="1">
      <c r="A244" s="81"/>
      <c r="B244" s="81"/>
      <c r="C244" s="81"/>
      <c r="D244" s="81"/>
      <c r="E244" s="81"/>
      <c r="F244" s="81"/>
      <c r="G244" s="81"/>
      <c r="H244" s="81"/>
      <c r="I244" s="81"/>
      <c r="J244" s="81"/>
      <c r="K244" s="81"/>
      <c r="L244" s="81"/>
    </row>
    <row r="245" spans="1:12" ht="9.1999999999999993" customHeight="1">
      <c r="A245" s="81"/>
      <c r="B245" s="81"/>
      <c r="C245" s="81"/>
      <c r="D245" s="81"/>
      <c r="E245" s="81"/>
      <c r="F245" s="81"/>
      <c r="G245" s="81"/>
      <c r="H245" s="81"/>
      <c r="I245" s="81"/>
      <c r="J245" s="81"/>
      <c r="K245" s="81"/>
      <c r="L245" s="81"/>
    </row>
    <row r="246" spans="1:12" ht="9.1999999999999993" customHeight="1">
      <c r="A246" s="81"/>
      <c r="B246" s="81"/>
      <c r="C246" s="81"/>
      <c r="D246" s="81"/>
      <c r="E246" s="81"/>
      <c r="F246" s="81"/>
      <c r="G246" s="81"/>
      <c r="H246" s="81"/>
      <c r="I246" s="81"/>
      <c r="J246" s="81"/>
      <c r="K246" s="81"/>
      <c r="L246" s="81"/>
    </row>
    <row r="247" spans="1:12" ht="9.1999999999999993" customHeight="1">
      <c r="A247" s="81"/>
      <c r="B247" s="81"/>
      <c r="C247" s="81"/>
      <c r="D247" s="81"/>
      <c r="E247" s="81"/>
      <c r="F247" s="81"/>
      <c r="G247" s="81"/>
      <c r="H247" s="81"/>
      <c r="I247" s="81"/>
      <c r="J247" s="81"/>
      <c r="K247" s="81"/>
      <c r="L247" s="81"/>
    </row>
    <row r="248" spans="1:12" ht="9.1999999999999993" customHeight="1">
      <c r="A248" s="81"/>
      <c r="B248" s="81"/>
      <c r="C248" s="81"/>
      <c r="D248" s="81"/>
      <c r="E248" s="81"/>
      <c r="F248" s="81"/>
      <c r="G248" s="81"/>
      <c r="H248" s="81"/>
      <c r="I248" s="81"/>
      <c r="J248" s="81"/>
      <c r="K248" s="81"/>
      <c r="L248" s="81"/>
    </row>
    <row r="249" spans="1:12" ht="9.1999999999999993" customHeight="1">
      <c r="A249" s="81"/>
      <c r="B249" s="81"/>
      <c r="C249" s="81"/>
      <c r="D249" s="81"/>
      <c r="E249" s="81"/>
      <c r="F249" s="81"/>
      <c r="G249" s="81"/>
      <c r="H249" s="81"/>
      <c r="I249" s="81"/>
      <c r="J249" s="81"/>
      <c r="K249" s="81"/>
      <c r="L249" s="81"/>
    </row>
    <row r="250" spans="1:12" ht="9.1999999999999993" customHeight="1">
      <c r="A250" s="81"/>
      <c r="B250" s="81"/>
      <c r="C250" s="81"/>
      <c r="D250" s="81"/>
      <c r="E250" s="81"/>
      <c r="F250" s="81"/>
      <c r="G250" s="81"/>
      <c r="H250" s="81"/>
      <c r="I250" s="81"/>
      <c r="J250" s="81"/>
      <c r="K250" s="81"/>
      <c r="L250" s="81"/>
    </row>
    <row r="251" spans="1:12" ht="9.1999999999999993" customHeight="1">
      <c r="A251" s="81"/>
      <c r="B251" s="81"/>
      <c r="C251" s="81"/>
      <c r="D251" s="81"/>
      <c r="E251" s="81"/>
      <c r="F251" s="81"/>
      <c r="G251" s="81"/>
      <c r="H251" s="81"/>
      <c r="I251" s="81"/>
      <c r="J251" s="81"/>
      <c r="K251" s="81"/>
      <c r="L251" s="81"/>
    </row>
    <row r="252" spans="1:12" ht="9.1999999999999993" customHeight="1">
      <c r="A252" s="81"/>
      <c r="B252" s="81"/>
      <c r="C252" s="81"/>
      <c r="D252" s="81"/>
      <c r="E252" s="81"/>
      <c r="F252" s="81"/>
      <c r="G252" s="81"/>
      <c r="H252" s="81"/>
      <c r="I252" s="81"/>
      <c r="J252" s="81"/>
      <c r="K252" s="81"/>
      <c r="L252" s="81"/>
    </row>
    <row r="253" spans="1:12" ht="5.45" customHeight="1">
      <c r="A253" s="81"/>
      <c r="B253" s="81"/>
      <c r="C253" s="81"/>
      <c r="D253" s="81"/>
      <c r="E253" s="81"/>
      <c r="F253" s="81"/>
      <c r="G253" s="81"/>
      <c r="H253" s="81"/>
      <c r="I253" s="81"/>
      <c r="J253" s="81"/>
      <c r="K253" s="81"/>
      <c r="L253" s="81"/>
    </row>
    <row r="254" spans="1:12" ht="9" hidden="1" customHeight="1">
      <c r="A254" s="81"/>
      <c r="B254" s="81"/>
      <c r="C254" s="81"/>
      <c r="D254" s="81"/>
      <c r="E254" s="81"/>
      <c r="F254" s="81"/>
      <c r="G254" s="81"/>
      <c r="H254" s="81"/>
      <c r="I254" s="81"/>
      <c r="J254" s="81"/>
      <c r="K254" s="81"/>
      <c r="L254" s="81"/>
    </row>
    <row r="255" spans="1:12" ht="9" hidden="1" customHeight="1">
      <c r="A255" s="81"/>
      <c r="B255" s="81"/>
      <c r="C255" s="81"/>
      <c r="D255" s="81"/>
      <c r="E255" s="81"/>
      <c r="F255" s="81"/>
      <c r="G255" s="81"/>
      <c r="H255" s="81"/>
      <c r="I255" s="81"/>
      <c r="J255" s="81"/>
      <c r="K255" s="81"/>
      <c r="L255" s="81"/>
    </row>
    <row r="256" spans="1:12" ht="9" hidden="1" customHeight="1">
      <c r="A256" s="81"/>
      <c r="B256" s="81"/>
      <c r="C256" s="81"/>
      <c r="D256" s="81"/>
      <c r="E256" s="81"/>
      <c r="F256" s="81"/>
      <c r="G256" s="81"/>
      <c r="H256" s="81"/>
      <c r="I256" s="81"/>
      <c r="J256" s="81"/>
      <c r="K256" s="81"/>
      <c r="L256" s="81"/>
    </row>
    <row r="257" spans="1:12" ht="9" hidden="1" customHeight="1">
      <c r="A257" s="81"/>
      <c r="B257" s="81"/>
      <c r="C257" s="81"/>
      <c r="D257" s="81"/>
      <c r="E257" s="81"/>
      <c r="F257" s="81"/>
      <c r="G257" s="81"/>
      <c r="H257" s="81"/>
      <c r="I257" s="81"/>
      <c r="J257" s="81"/>
      <c r="K257" s="81"/>
      <c r="L257" s="81"/>
    </row>
    <row r="258" spans="1:12" ht="9" customHeight="1"/>
    <row r="259" spans="1:12" ht="21.95" customHeight="1">
      <c r="A259" s="56" t="s">
        <v>152</v>
      </c>
      <c r="B259" s="81"/>
      <c r="C259" s="81"/>
      <c r="D259" s="81"/>
      <c r="E259" s="81"/>
      <c r="F259" s="81"/>
      <c r="G259" s="81"/>
      <c r="H259" s="81"/>
      <c r="I259" s="81"/>
      <c r="J259" s="81"/>
      <c r="K259" s="81"/>
      <c r="L259" s="81"/>
    </row>
    <row r="260" spans="1:12" ht="53.1" customHeight="1">
      <c r="A260" s="61" t="s">
        <v>172</v>
      </c>
      <c r="B260" s="81"/>
      <c r="C260" s="81"/>
      <c r="D260" s="81"/>
      <c r="E260" s="81"/>
      <c r="F260" s="81"/>
      <c r="G260" s="81"/>
      <c r="H260" s="81"/>
      <c r="I260" s="81"/>
      <c r="J260" s="81"/>
      <c r="K260" s="81"/>
      <c r="L260" s="81"/>
    </row>
    <row r="262" spans="1:12" ht="83.45" customHeight="1">
      <c r="A262" s="55" t="s">
        <v>173</v>
      </c>
      <c r="B262" s="81"/>
      <c r="C262" s="81"/>
      <c r="D262" s="81"/>
      <c r="E262" s="81"/>
      <c r="F262" s="81"/>
      <c r="G262" s="81"/>
      <c r="H262" s="81"/>
      <c r="I262" s="81"/>
      <c r="J262" s="81"/>
      <c r="K262" s="81"/>
      <c r="L262" s="81"/>
    </row>
    <row r="263" spans="1:12" ht="9" customHeight="1"/>
    <row r="264" spans="1:12" ht="21.95" customHeight="1">
      <c r="A264" s="56" t="s">
        <v>155</v>
      </c>
      <c r="B264" s="81"/>
      <c r="C264" s="81"/>
      <c r="D264" s="81"/>
      <c r="E264" s="81"/>
      <c r="F264" s="81"/>
      <c r="G264" s="81"/>
      <c r="H264" s="81"/>
      <c r="I264" s="81"/>
      <c r="J264" s="81"/>
      <c r="K264" s="81"/>
      <c r="L264" s="81"/>
    </row>
    <row r="265" spans="1:12" ht="83.45" customHeight="1">
      <c r="A265" s="61" t="s">
        <v>174</v>
      </c>
      <c r="B265" s="81"/>
      <c r="C265" s="81"/>
      <c r="D265" s="81"/>
      <c r="E265" s="81"/>
      <c r="F265" s="81"/>
      <c r="G265" s="81"/>
      <c r="H265" s="81"/>
      <c r="I265" s="81"/>
      <c r="J265" s="81"/>
      <c r="K265" s="81"/>
      <c r="L265" s="81"/>
    </row>
    <row r="266" spans="1:12" ht="9" customHeight="1"/>
    <row r="267" spans="1:12" ht="41.45" customHeight="1">
      <c r="A267" s="59" t="s">
        <v>157</v>
      </c>
      <c r="B267" s="81"/>
      <c r="C267" s="81"/>
      <c r="D267" s="81"/>
      <c r="E267" s="81"/>
      <c r="F267" s="81"/>
      <c r="G267" s="81"/>
      <c r="H267" s="81"/>
      <c r="I267" s="81"/>
      <c r="J267" s="81"/>
      <c r="K267" s="81"/>
      <c r="L267" s="81"/>
    </row>
    <row r="268" spans="1:12" ht="36.6" customHeight="1">
      <c r="A268" s="2" t="s">
        <v>175</v>
      </c>
      <c r="C268" s="4" t="s">
        <v>28</v>
      </c>
      <c r="D268" s="4" t="s">
        <v>29</v>
      </c>
      <c r="E268" s="4" t="s">
        <v>159</v>
      </c>
    </row>
    <row r="269" spans="1:12">
      <c r="A269" s="2" t="s">
        <v>61</v>
      </c>
      <c r="C269" s="11">
        <f>'Industry Summary'!R18/'Industry Summary'!R22</f>
        <v>4.0189850310332238</v>
      </c>
      <c r="D269" s="11">
        <f>'Industry Summary'!T18/'Industry Summary'!T22</f>
        <v>3.7476688537501919</v>
      </c>
      <c r="E269" s="11">
        <f>ABS(C269-C45)+ABS(D269-E45)</f>
        <v>0</v>
      </c>
    </row>
    <row r="270" spans="1:12">
      <c r="A270" s="2" t="s">
        <v>63</v>
      </c>
      <c r="C270" s="11">
        <f>('Industry Summary'!R18-'Industry Summary'!R13)/'Industry Summary'!R22</f>
        <v>2.7685597321588098</v>
      </c>
      <c r="D270" s="11">
        <f>('Industry Summary'!T18-'Industry Summary'!T13)/'Industry Summary'!T22</f>
        <v>2.751186431627497</v>
      </c>
      <c r="E270" s="11">
        <f>ABS(C270-C46)+ABS(D270-E46)</f>
        <v>0</v>
      </c>
    </row>
    <row r="271" spans="1:12">
      <c r="A271" s="2" t="s">
        <v>65</v>
      </c>
      <c r="C271" s="11">
        <f>('Industry Summary'!R15+'Industry Summary'!R16)/'Industry Summary'!R22</f>
        <v>0.20215484763036676</v>
      </c>
      <c r="D271" s="11">
        <f>('Industry Summary'!T15+'Industry Summary'!T16)/'Industry Summary'!T22</f>
        <v>0.12821471241965304</v>
      </c>
      <c r="E271" s="11">
        <f>ABS(C271-C47)+ABS(D271-E47)</f>
        <v>0</v>
      </c>
    </row>
    <row r="272" spans="1:12">
      <c r="A272" s="2" t="s">
        <v>73</v>
      </c>
      <c r="C272" s="12">
        <f>'Industry Summary'!R30/'Industry Summary'!R26</f>
        <v>0.13622509073980452</v>
      </c>
      <c r="D272" s="12">
        <f>'Industry Summary'!T30/'Industry Summary'!T26</f>
        <v>8.0091947131691404E-2</v>
      </c>
      <c r="E272" s="12">
        <f>ABS(C272-C58)+ABS(D272-E58)</f>
        <v>0</v>
      </c>
    </row>
    <row r="273" spans="1:12">
      <c r="A273" s="2" t="s">
        <v>75</v>
      </c>
      <c r="C273" s="12">
        <f>'Industry Summary'!R30/AVERAGE('Industry Summary'!R39,'Industry Summary'!R25)</f>
        <v>0.1344263935069277</v>
      </c>
      <c r="D273" s="12">
        <f>'Industry Summary'!T30/AVERAGE('Industry Summary'!R25,'Industry Summary'!T25)</f>
        <v>7.5097696063019789E-2</v>
      </c>
      <c r="E273" s="12">
        <f>ABS(C273-C59)+ABS(D273-E59)</f>
        <v>0</v>
      </c>
    </row>
    <row r="274" spans="1:12">
      <c r="A274" s="2" t="s">
        <v>77</v>
      </c>
      <c r="C274" s="12">
        <f>'Industry Summary'!R30/AVERAGE('Industry Summary'!R38,'Industry Summary'!R24)</f>
        <v>0.16993265026810936</v>
      </c>
      <c r="D274" s="12">
        <f>'Industry Summary'!T30/AVERAGE('Industry Summary'!R24,'Industry Summary'!T24)</f>
        <v>9.4908896034297974E-2</v>
      </c>
      <c r="E274" s="12">
        <f>ABS(C274-C60)+ABS(D274-E60)</f>
        <v>0</v>
      </c>
    </row>
    <row r="275" spans="1:12">
      <c r="A275" s="2" t="s">
        <v>68</v>
      </c>
      <c r="C275" s="11">
        <f>'Industry Summary'!R23/'Industry Summary'!R24</f>
        <v>0</v>
      </c>
      <c r="D275" s="11">
        <f>'Industry Summary'!T23/'Industry Summary'!T24</f>
        <v>0</v>
      </c>
      <c r="E275" s="11">
        <f>ABS(C275-C52)+ABS(D275-E52)</f>
        <v>0</v>
      </c>
    </row>
    <row r="276" spans="1:12">
      <c r="A276" s="2" t="s">
        <v>70</v>
      </c>
      <c r="C276" s="11">
        <f>('Industry Summary'!R23+'Industry Summary'!R33)/'Industry Summary'!R24</f>
        <v>2.689189677407194E-2</v>
      </c>
      <c r="D276" s="11">
        <f>('Industry Summary'!T23+'Industry Summary'!T33)/'Industry Summary'!T24</f>
        <v>3.2438390207548941E-2</v>
      </c>
      <c r="E276" s="11">
        <f>ABS(C276-C53)+ABS(D276-E53)</f>
        <v>0</v>
      </c>
    </row>
    <row r="277" spans="1:12">
      <c r="A277" s="2" t="s">
        <v>80</v>
      </c>
      <c r="C277" s="11">
        <f>'Industry Summary'!R27/AVERAGE('Industry Summary'!R37,'Industry Summary'!R13)</f>
        <v>2.7019266837169651</v>
      </c>
      <c r="D277" s="11">
        <f>'Industry Summary'!T27/AVERAGE('Industry Summary'!R13,'Industry Summary'!T13)</f>
        <v>2.8248292577587399</v>
      </c>
      <c r="E277" s="11">
        <f>ABS(C277-C65)+ABS(D277-E65)</f>
        <v>0</v>
      </c>
    </row>
    <row r="278" spans="1:12">
      <c r="A278" s="10" t="s">
        <v>101</v>
      </c>
      <c r="C278" s="11">
        <f>'Industry Summary'!R26/AVERAGE('Industry Summary'!R39,'Industry Summary'!R25)</f>
        <v>0.98679613848587999</v>
      </c>
      <c r="D278" s="11">
        <f>'Industry Summary'!T26/AVERAGE('Industry Summary'!R25,'Industry Summary'!T25)</f>
        <v>0.93764353037316217</v>
      </c>
      <c r="E278" s="11">
        <f>ABS(C278-C95)+ABS(D278-E95)</f>
        <v>0</v>
      </c>
    </row>
    <row r="279" spans="1:12">
      <c r="A279" s="10" t="s">
        <v>103</v>
      </c>
      <c r="C279" s="11">
        <f>AVERAGE('Industry Summary'!R39,'Industry Summary'!R25)/AVERAGE('Industry Summary'!R38,'Industry Summary'!R24)</f>
        <v>1.2641315878146491</v>
      </c>
      <c r="D279" s="11">
        <f>AVERAGE('Industry Summary'!R25,'Industry Summary'!T25)/AVERAGE('Industry Summary'!R24,'Industry Summary'!T24)</f>
        <v>1.2638056959118054</v>
      </c>
      <c r="E279" s="11">
        <f>ABS(C279-C96)+ABS(D279-E96)</f>
        <v>0</v>
      </c>
    </row>
    <row r="280" spans="1:12">
      <c r="A280" s="2" t="s">
        <v>93</v>
      </c>
      <c r="C280" s="12">
        <f>('Industry Summary'!R26-'Industry Summary'!R40)/'Industry Summary'!R40</f>
        <v>1.3986988219063187E-2</v>
      </c>
      <c r="D280" s="12">
        <f>('Industry Summary'!T26-'Industry Summary'!R26)/'Industry Summary'!R26</f>
        <v>3.2350190950430194E-2</v>
      </c>
      <c r="E280" s="12">
        <f>ABS(C280-C86)+ABS(D280-E86)</f>
        <v>0</v>
      </c>
    </row>
    <row r="281" spans="1:12">
      <c r="A281" s="2" t="s">
        <v>95</v>
      </c>
      <c r="C281" s="12">
        <f>('Industry Summary'!R26-('Industry Summary'!R34-'Industry Summary'!R35))/'Industry Summary'!R26</f>
        <v>0.10410566768622499</v>
      </c>
      <c r="D281" s="12">
        <f>('Industry Summary'!T26-('Industry Summary'!T34-'Industry Summary'!T35))/'Industry Summary'!T26</f>
        <v>9.8828953267960734E-2</v>
      </c>
      <c r="E281" s="12">
        <f>ABS(C281-C87)+ABS(D281-E87)</f>
        <v>0</v>
      </c>
    </row>
    <row r="282" spans="1:12">
      <c r="A282" s="10" t="s">
        <v>160</v>
      </c>
      <c r="C282" s="12">
        <f>'Industry Summary'!R30/'Industry Summary'!R28</f>
        <v>0.7365012512530561</v>
      </c>
      <c r="D282" s="12">
        <f>'Industry Summary'!T30/'Industry Summary'!T28</f>
        <v>0.73949248994881955</v>
      </c>
      <c r="E282" s="12">
        <f>ABS(C282-C106)+ABS(D282-E106)</f>
        <v>0</v>
      </c>
    </row>
    <row r="283" spans="1:12">
      <c r="A283" s="10" t="s">
        <v>161</v>
      </c>
      <c r="C283" s="12">
        <f>'Industry Summary'!R28/('Industry Summary'!R28+'Industry Summary'!R35)</f>
        <v>0.98923450096311627</v>
      </c>
      <c r="D283" s="12">
        <f>'Industry Summary'!T28/('Industry Summary'!T28+'Industry Summary'!T35)</f>
        <v>0.9785085568863674</v>
      </c>
      <c r="E283" s="12">
        <f>ABS(C283-C107)+ABS(D283-E107)</f>
        <v>0</v>
      </c>
    </row>
    <row r="284" spans="1:12">
      <c r="A284" s="10" t="s">
        <v>162</v>
      </c>
      <c r="C284" s="12">
        <f>('Industry Summary'!R28+'Industry Summary'!R35)/'Industry Summary'!R26</f>
        <v>0.18697535318826522</v>
      </c>
      <c r="D284" s="12">
        <f>('Industry Summary'!T28+'Industry Summary'!T35)/'Industry Summary'!T26</f>
        <v>0.11068542994587317</v>
      </c>
      <c r="E284" s="12">
        <f>ABS(C284-C108)+ABS(D284-E108)</f>
        <v>0</v>
      </c>
    </row>
    <row r="286" spans="1:12" ht="37.700000000000003" customHeight="1">
      <c r="A286" s="55" t="s">
        <v>163</v>
      </c>
      <c r="B286" s="81"/>
      <c r="C286" s="81"/>
      <c r="D286" s="81"/>
      <c r="E286" s="81"/>
      <c r="F286" s="81"/>
      <c r="G286" s="81"/>
      <c r="H286" s="81"/>
      <c r="I286" s="81"/>
      <c r="J286" s="81"/>
      <c r="K286" s="81"/>
      <c r="L286" s="81"/>
    </row>
  </sheetData>
  <mergeCells count="61">
    <mergeCell ref="A172:L172"/>
    <mergeCell ref="E50:F50"/>
    <mergeCell ref="C92:D92"/>
    <mergeCell ref="A174:L174"/>
    <mergeCell ref="A55:L55"/>
    <mergeCell ref="A68:L68"/>
    <mergeCell ref="C76:D76"/>
    <mergeCell ref="A192:L203"/>
    <mergeCell ref="A286:L286"/>
    <mergeCell ref="A90:L90"/>
    <mergeCell ref="A75:L75"/>
    <mergeCell ref="A220:L230"/>
    <mergeCell ref="A89:L89"/>
    <mergeCell ref="A264:L264"/>
    <mergeCell ref="A233:L257"/>
    <mergeCell ref="E92:F92"/>
    <mergeCell ref="A267:L267"/>
    <mergeCell ref="A101:L101"/>
    <mergeCell ref="A259:L259"/>
    <mergeCell ref="A262:L262"/>
    <mergeCell ref="A171:L171"/>
    <mergeCell ref="A265:L265"/>
    <mergeCell ref="A170:L170"/>
    <mergeCell ref="A4:L4"/>
    <mergeCell ref="A62:L62"/>
    <mergeCell ref="A81:L81"/>
    <mergeCell ref="C43:D43"/>
    <mergeCell ref="A100:L100"/>
    <mergeCell ref="E43:F43"/>
    <mergeCell ref="A260:L260"/>
    <mergeCell ref="A98:L98"/>
    <mergeCell ref="C7:D7"/>
    <mergeCell ref="A169:L169"/>
    <mergeCell ref="A49:L49"/>
    <mergeCell ref="A178:L189"/>
    <mergeCell ref="A206:L217"/>
    <mergeCell ref="A31:L31"/>
    <mergeCell ref="A40:L40"/>
    <mergeCell ref="A173:L173"/>
    <mergeCell ref="A67:L67"/>
    <mergeCell ref="A176:L176"/>
    <mergeCell ref="A114:L114"/>
    <mergeCell ref="A39:L39"/>
    <mergeCell ref="A82:L82"/>
    <mergeCell ref="A42:L42"/>
    <mergeCell ref="A1:L1"/>
    <mergeCell ref="A103:L103"/>
    <mergeCell ref="A168:L168"/>
    <mergeCell ref="A6:L6"/>
    <mergeCell ref="A70:L70"/>
    <mergeCell ref="E56:F56"/>
    <mergeCell ref="A2:L2"/>
    <mergeCell ref="A71:L71"/>
    <mergeCell ref="C63:D63"/>
    <mergeCell ref="A116:L116"/>
    <mergeCell ref="E63:F63"/>
    <mergeCell ref="A32:L32"/>
    <mergeCell ref="C50:D50"/>
    <mergeCell ref="C84:D84"/>
    <mergeCell ref="E84:F84"/>
    <mergeCell ref="C56:D56"/>
  </mergeCells>
  <pageMargins left="0.4" right="0.4" top="0.5" bottom="0.5" header="0.25" footer="0.25"/>
  <pageSetup paperSize="9" fitToHeight="0" orientation="landscape" horizontalDpi="300" verticalDpi="300"/>
  <headerFooter>
    <oddHeader>&amp;L&amp;"Times New Roman,Bold"&amp;9 FAA Major Project - Indian Paints Industry&amp;R&amp;"Times New Roman,Regular"&amp;9 &amp;A</oddHeader>
    <oddFooter>&amp;L&amp;"Times New Roman,Regular"&amp;8 Standalone, ₹ Crore&amp;C&amp;"Times New Roman,Regular"&amp;8 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85"/>
  <sheetViews>
    <sheetView topLeftCell="A278" zoomScale="85" zoomScaleNormal="85" workbookViewId="0">
      <selection activeCell="A219" sqref="A219:L229"/>
    </sheetView>
  </sheetViews>
  <sheetFormatPr defaultColWidth="8.5703125" defaultRowHeight="14.1"/>
  <cols>
    <col min="1" max="1" width="46" style="1" customWidth="1"/>
    <col min="2" max="2" width="15" style="1" customWidth="1"/>
    <col min="3" max="11" width="13.42578125" style="1" customWidth="1"/>
    <col min="12" max="12" width="10" style="1" customWidth="1"/>
    <col min="13" max="16" width="8.7109375" style="1" customWidth="1"/>
    <col min="17" max="17" width="8.5703125" style="1" customWidth="1"/>
    <col min="18" max="16384" width="8.5703125" style="1"/>
  </cols>
  <sheetData>
    <row r="1" spans="1:12" ht="34.15" customHeight="1">
      <c r="A1" s="54" t="s">
        <v>176</v>
      </c>
      <c r="B1" s="81"/>
      <c r="C1" s="81"/>
      <c r="D1" s="81"/>
      <c r="E1" s="81"/>
      <c r="F1" s="81"/>
      <c r="G1" s="81"/>
      <c r="H1" s="81"/>
      <c r="I1" s="81"/>
      <c r="J1" s="81"/>
      <c r="K1" s="81"/>
      <c r="L1" s="81"/>
    </row>
    <row r="2" spans="1:12" ht="21.95" customHeight="1">
      <c r="A2" s="58" t="s">
        <v>23</v>
      </c>
      <c r="B2" s="81"/>
      <c r="C2" s="81"/>
      <c r="D2" s="81"/>
      <c r="E2" s="81"/>
      <c r="F2" s="81"/>
      <c r="G2" s="81"/>
      <c r="H2" s="81"/>
      <c r="I2" s="81"/>
      <c r="J2" s="81"/>
      <c r="K2" s="81"/>
      <c r="L2" s="81"/>
    </row>
    <row r="3" spans="1:12" ht="8.1" customHeight="1"/>
    <row r="4" spans="1:12" ht="26.85" customHeight="1">
      <c r="A4" s="59" t="s">
        <v>24</v>
      </c>
      <c r="B4" s="81"/>
      <c r="C4" s="81"/>
      <c r="D4" s="81"/>
      <c r="E4" s="81"/>
      <c r="F4" s="81"/>
      <c r="G4" s="81"/>
      <c r="H4" s="81"/>
      <c r="I4" s="81"/>
      <c r="J4" s="81"/>
      <c r="K4" s="81"/>
      <c r="L4" s="81"/>
    </row>
    <row r="5" spans="1:12" ht="9" customHeight="1"/>
    <row r="6" spans="1:12" ht="26.85" customHeight="1">
      <c r="A6" s="56" t="s">
        <v>25</v>
      </c>
      <c r="B6" s="81"/>
      <c r="C6" s="81"/>
      <c r="D6" s="81"/>
      <c r="E6" s="81"/>
      <c r="F6" s="81"/>
      <c r="G6" s="81"/>
      <c r="H6" s="81"/>
      <c r="I6" s="81"/>
      <c r="J6" s="81"/>
      <c r="K6" s="81"/>
      <c r="L6" s="81"/>
    </row>
    <row r="7" spans="1:12" ht="21.95" customHeight="1">
      <c r="A7" s="2" t="s">
        <v>26</v>
      </c>
      <c r="C7" s="57" t="s">
        <v>177</v>
      </c>
      <c r="D7" s="84"/>
    </row>
    <row r="8" spans="1:12" ht="15.75" customHeight="1">
      <c r="C8" s="4" t="s">
        <v>28</v>
      </c>
      <c r="D8" s="4" t="s">
        <v>29</v>
      </c>
    </row>
    <row r="9" spans="1:12" ht="15.75" customHeight="1">
      <c r="A9" s="13" t="s">
        <v>30</v>
      </c>
      <c r="C9" s="7">
        <v>5848.23</v>
      </c>
      <c r="D9" s="7">
        <v>4824.74</v>
      </c>
    </row>
    <row r="10" spans="1:12" ht="15.75" customHeight="1">
      <c r="A10" s="13" t="s">
        <v>31</v>
      </c>
      <c r="C10" s="7">
        <v>3197.55</v>
      </c>
      <c r="D10" s="7">
        <v>3227.71</v>
      </c>
    </row>
    <row r="11" spans="1:12" ht="15.75" customHeight="1">
      <c r="A11" s="13" t="s">
        <v>32</v>
      </c>
      <c r="C11" s="7">
        <v>176.19</v>
      </c>
      <c r="D11" s="7">
        <v>395.38</v>
      </c>
    </row>
    <row r="12" spans="1:12" ht="15.75" customHeight="1">
      <c r="A12" s="13" t="s">
        <v>33</v>
      </c>
      <c r="C12" s="7">
        <v>26.09</v>
      </c>
      <c r="D12" s="7">
        <v>50.96</v>
      </c>
    </row>
    <row r="13" spans="1:12" ht="29.25" customHeight="1">
      <c r="A13" s="13" t="s">
        <v>34</v>
      </c>
      <c r="C13" s="7">
        <v>5039.88</v>
      </c>
      <c r="D13" s="7">
        <v>8757.44</v>
      </c>
    </row>
    <row r="14" spans="1:12" ht="15.75" customHeight="1">
      <c r="A14" s="8" t="s">
        <v>35</v>
      </c>
      <c r="C14" s="9">
        <v>14287.94</v>
      </c>
      <c r="D14" s="9">
        <v>17256.23</v>
      </c>
    </row>
    <row r="15" spans="1:12" ht="15.75" customHeight="1">
      <c r="A15" s="13" t="s">
        <v>36</v>
      </c>
      <c r="C15" s="7">
        <v>3123.69</v>
      </c>
      <c r="D15" s="7">
        <v>3114.48</v>
      </c>
    </row>
    <row r="16" spans="1:12" ht="15.75" customHeight="1">
      <c r="A16" s="13" t="s">
        <v>37</v>
      </c>
      <c r="C16" s="7">
        <v>2.15</v>
      </c>
      <c r="D16" s="7">
        <v>340.73</v>
      </c>
    </row>
    <row r="17" spans="1:12" ht="29.25" customHeight="1">
      <c r="A17" s="13" t="s">
        <v>38</v>
      </c>
      <c r="C17" s="7">
        <v>3090.36</v>
      </c>
      <c r="D17" s="7">
        <v>3550.67</v>
      </c>
    </row>
    <row r="18" spans="1:12" ht="15.75" customHeight="1">
      <c r="A18" s="8" t="s">
        <v>39</v>
      </c>
      <c r="C18" s="9">
        <v>6216.2</v>
      </c>
      <c r="D18" s="9">
        <v>7005.88</v>
      </c>
    </row>
    <row r="19" spans="1:12" ht="29.25" customHeight="1">
      <c r="A19" s="13" t="s">
        <v>40</v>
      </c>
      <c r="C19" s="7">
        <v>39.4</v>
      </c>
      <c r="D19" s="7">
        <v>1189.67</v>
      </c>
    </row>
    <row r="20" spans="1:12" ht="15.75" customHeight="1">
      <c r="A20" s="13" t="s">
        <v>41</v>
      </c>
      <c r="C20" s="7">
        <v>18983.48</v>
      </c>
      <c r="D20" s="7">
        <v>20781.560000000001</v>
      </c>
    </row>
    <row r="21" spans="1:12" ht="15.75" customHeight="1">
      <c r="A21" s="8" t="s">
        <v>42</v>
      </c>
      <c r="C21" s="9">
        <v>26653.11</v>
      </c>
      <c r="D21" s="9">
        <v>30084.26</v>
      </c>
    </row>
    <row r="22" spans="1:12" ht="15.75" customHeight="1">
      <c r="A22" s="13" t="s">
        <v>43</v>
      </c>
      <c r="C22" s="7">
        <v>29552.65</v>
      </c>
      <c r="D22" s="7">
        <v>30769.48</v>
      </c>
    </row>
    <row r="23" spans="1:12" ht="15.75" customHeight="1">
      <c r="A23" s="13" t="s">
        <v>44</v>
      </c>
      <c r="C23" s="7">
        <v>13238.32</v>
      </c>
      <c r="D23" s="7">
        <v>12670.79</v>
      </c>
    </row>
    <row r="24" spans="1:12" ht="15.75" customHeight="1">
      <c r="A24" s="13" t="s">
        <v>45</v>
      </c>
      <c r="C24" s="7">
        <v>4897.18</v>
      </c>
      <c r="D24" s="7">
        <v>5733.6</v>
      </c>
    </row>
    <row r="25" spans="1:12" ht="15.75" customHeight="1">
      <c r="A25" s="13" t="s">
        <v>46</v>
      </c>
      <c r="C25" s="7">
        <v>1312.3</v>
      </c>
      <c r="D25" s="7">
        <v>1489.43</v>
      </c>
    </row>
    <row r="26" spans="1:12" ht="15.75" customHeight="1">
      <c r="A26" s="8" t="s">
        <v>47</v>
      </c>
      <c r="C26" s="9">
        <v>3584.88</v>
      </c>
      <c r="D26" s="9">
        <v>4244.17</v>
      </c>
    </row>
    <row r="27" spans="1:12" ht="29.25" customHeight="1">
      <c r="A27" s="13" t="s">
        <v>48</v>
      </c>
      <c r="C27" s="7">
        <v>-379.63</v>
      </c>
      <c r="D27" s="7">
        <v>-166.53</v>
      </c>
    </row>
    <row r="28" spans="1:12" ht="15.75" customHeight="1">
      <c r="A28" s="8" t="s">
        <v>49</v>
      </c>
      <c r="C28" s="9">
        <v>5276.81</v>
      </c>
      <c r="D28" s="9">
        <v>5900.13</v>
      </c>
    </row>
    <row r="29" spans="1:12" ht="29.25" customHeight="1">
      <c r="A29" s="13" t="s">
        <v>50</v>
      </c>
      <c r="C29" s="7">
        <v>1159.42</v>
      </c>
      <c r="D29" s="7">
        <v>1179.29</v>
      </c>
    </row>
    <row r="31" spans="1:12" ht="21.95" customHeight="1">
      <c r="A31" s="56" t="s">
        <v>51</v>
      </c>
      <c r="B31" s="81"/>
      <c r="C31" s="81"/>
      <c r="D31" s="81"/>
      <c r="E31" s="81"/>
      <c r="F31" s="81"/>
      <c r="G31" s="81"/>
      <c r="H31" s="81"/>
      <c r="I31" s="81"/>
      <c r="J31" s="81"/>
      <c r="K31" s="81"/>
      <c r="L31" s="81"/>
    </row>
    <row r="32" spans="1:12" ht="37.700000000000003" customHeight="1">
      <c r="A32" s="55" t="s">
        <v>52</v>
      </c>
      <c r="B32" s="81"/>
      <c r="C32" s="81"/>
      <c r="D32" s="81"/>
      <c r="E32" s="81"/>
      <c r="F32" s="81"/>
      <c r="G32" s="81"/>
      <c r="H32" s="81"/>
      <c r="I32" s="81"/>
      <c r="J32" s="81"/>
      <c r="K32" s="81"/>
      <c r="L32" s="81"/>
    </row>
    <row r="34" spans="1:12" ht="15.75" customHeight="1">
      <c r="A34" s="2" t="s">
        <v>53</v>
      </c>
      <c r="C34" s="4" t="s">
        <v>177</v>
      </c>
    </row>
    <row r="35" spans="1:12" ht="15.75" customHeight="1">
      <c r="A35" s="10" t="s">
        <v>30</v>
      </c>
      <c r="C35" s="7">
        <v>5155.59</v>
      </c>
    </row>
    <row r="36" spans="1:12" ht="15.75" customHeight="1">
      <c r="A36" s="10" t="s">
        <v>41</v>
      </c>
      <c r="C36" s="7">
        <v>18288.66</v>
      </c>
    </row>
    <row r="37" spans="1:12" ht="15.75" customHeight="1">
      <c r="A37" s="10" t="s">
        <v>42</v>
      </c>
      <c r="C37" s="7">
        <v>26035.64</v>
      </c>
    </row>
    <row r="38" spans="1:12" ht="9" customHeight="1"/>
    <row r="39" spans="1:12" ht="21.95" customHeight="1">
      <c r="A39" s="56" t="s">
        <v>54</v>
      </c>
      <c r="B39" s="81"/>
      <c r="C39" s="81"/>
      <c r="D39" s="81"/>
      <c r="E39" s="81"/>
      <c r="F39" s="81"/>
      <c r="G39" s="81"/>
      <c r="H39" s="81"/>
      <c r="I39" s="81"/>
      <c r="J39" s="81"/>
      <c r="K39" s="81"/>
      <c r="L39" s="81"/>
    </row>
    <row r="40" spans="1:12" ht="50.45" customHeight="1">
      <c r="A40" s="55" t="s">
        <v>55</v>
      </c>
      <c r="B40" s="81"/>
      <c r="C40" s="81"/>
      <c r="D40" s="81"/>
      <c r="E40" s="81"/>
      <c r="F40" s="81"/>
      <c r="G40" s="81"/>
      <c r="H40" s="81"/>
      <c r="I40" s="81"/>
      <c r="J40" s="81"/>
      <c r="K40" s="81"/>
      <c r="L40" s="81"/>
    </row>
    <row r="41" spans="1:12" ht="9" customHeight="1"/>
    <row r="42" spans="1:12" ht="26.85" customHeight="1">
      <c r="A42" s="56" t="s">
        <v>56</v>
      </c>
      <c r="B42" s="81"/>
      <c r="C42" s="81"/>
      <c r="D42" s="81"/>
      <c r="E42" s="81"/>
      <c r="F42" s="81"/>
      <c r="G42" s="81"/>
      <c r="H42" s="81"/>
      <c r="I42" s="81"/>
      <c r="J42" s="81"/>
      <c r="K42" s="81"/>
      <c r="L42" s="81"/>
    </row>
    <row r="43" spans="1:12" ht="15.75" customHeight="1">
      <c r="C43" s="57" t="s">
        <v>28</v>
      </c>
      <c r="D43" s="84"/>
      <c r="E43" s="57" t="s">
        <v>29</v>
      </c>
      <c r="F43" s="84"/>
    </row>
    <row r="44" spans="1:12" ht="21.95" customHeight="1">
      <c r="A44" s="5" t="s">
        <v>57</v>
      </c>
      <c r="B44" s="5" t="s">
        <v>58</v>
      </c>
      <c r="C44" s="5" t="s">
        <v>59</v>
      </c>
      <c r="D44" s="5" t="s">
        <v>60</v>
      </c>
      <c r="E44" s="5" t="s">
        <v>59</v>
      </c>
      <c r="F44" s="5" t="s">
        <v>60</v>
      </c>
    </row>
    <row r="45" spans="1:12" ht="41.1" customHeight="1">
      <c r="A45" s="2" t="s">
        <v>61</v>
      </c>
      <c r="B45" s="50" t="s">
        <v>62</v>
      </c>
      <c r="C45" s="11">
        <f>C14/C18</f>
        <v>2.298500691740935</v>
      </c>
      <c r="D45" s="11">
        <f>'Industry Summary'!L48</f>
        <v>2.4353778229716396</v>
      </c>
      <c r="E45" s="11">
        <f>D14/D18</f>
        <v>2.4631067046538049</v>
      </c>
      <c r="F45" s="11">
        <f>'Industry Summary'!L60</f>
        <v>2.4275972449136276</v>
      </c>
    </row>
    <row r="46" spans="1:12" ht="41.1" customHeight="1">
      <c r="A46" s="2" t="s">
        <v>63</v>
      </c>
      <c r="B46" s="50" t="s">
        <v>64</v>
      </c>
      <c r="C46" s="11">
        <f>(C14-C9)/C18</f>
        <v>1.3576960200765742</v>
      </c>
      <c r="D46" s="11">
        <f>'Industry Summary'!L49</f>
        <v>1.5808142416651734</v>
      </c>
      <c r="E46" s="11">
        <f>(D14-D9)/D18</f>
        <v>1.7744366160996192</v>
      </c>
      <c r="F46" s="11">
        <f>'Industry Summary'!L61</f>
        <v>1.6811361655827657</v>
      </c>
    </row>
    <row r="47" spans="1:12" ht="48" customHeight="1">
      <c r="A47" s="2" t="s">
        <v>65</v>
      </c>
      <c r="B47" s="50" t="s">
        <v>66</v>
      </c>
      <c r="C47" s="11">
        <f>(C11+C12)/C18</f>
        <v>3.2540780541166631E-2</v>
      </c>
      <c r="D47" s="11">
        <f>'Industry Summary'!L50</f>
        <v>0.15262563733347595</v>
      </c>
      <c r="E47" s="11">
        <f>(D11+D12)/D18</f>
        <v>6.3709341296168356E-2</v>
      </c>
      <c r="F47" s="11">
        <f>'Industry Summary'!L62</f>
        <v>0.11967228575278641</v>
      </c>
    </row>
    <row r="48" spans="1:12" ht="9" customHeight="1"/>
    <row r="49" spans="1:12" ht="26.85" customHeight="1">
      <c r="A49" s="56" t="s">
        <v>67</v>
      </c>
      <c r="B49" s="81"/>
      <c r="C49" s="81"/>
      <c r="D49" s="81"/>
      <c r="E49" s="81"/>
      <c r="F49" s="81"/>
      <c r="G49" s="81"/>
      <c r="H49" s="81"/>
      <c r="I49" s="81"/>
      <c r="J49" s="81"/>
      <c r="K49" s="81"/>
      <c r="L49" s="81"/>
    </row>
    <row r="50" spans="1:12" ht="15.75" customHeight="1">
      <c r="C50" s="57" t="s">
        <v>28</v>
      </c>
      <c r="D50" s="84"/>
      <c r="E50" s="57" t="s">
        <v>29</v>
      </c>
      <c r="F50" s="84"/>
    </row>
    <row r="51" spans="1:12" ht="21.95" customHeight="1">
      <c r="A51" s="5" t="s">
        <v>57</v>
      </c>
      <c r="B51" s="5" t="s">
        <v>58</v>
      </c>
      <c r="C51" s="5" t="s">
        <v>59</v>
      </c>
      <c r="D51" s="5" t="s">
        <v>60</v>
      </c>
      <c r="E51" s="5" t="s">
        <v>59</v>
      </c>
      <c r="F51" s="5" t="s">
        <v>60</v>
      </c>
    </row>
    <row r="52" spans="1:12" ht="41.1" customHeight="1">
      <c r="A52" s="2" t="s">
        <v>68</v>
      </c>
      <c r="B52" s="50" t="s">
        <v>69</v>
      </c>
      <c r="C52" s="11">
        <f>C19/C20</f>
        <v>2.0754887934140631E-3</v>
      </c>
      <c r="D52" s="11">
        <f>'Industry Summary'!L54</f>
        <v>4.2882759079160922E-4</v>
      </c>
      <c r="E52" s="11">
        <f>D19/D20</f>
        <v>5.7246424233791879E-2</v>
      </c>
      <c r="F52" s="11">
        <f>'Industry Summary'!L66</f>
        <v>1.1449284846758376E-2</v>
      </c>
    </row>
    <row r="53" spans="1:12" ht="48" customHeight="1">
      <c r="A53" s="2" t="s">
        <v>70</v>
      </c>
      <c r="B53" s="50" t="s">
        <v>71</v>
      </c>
      <c r="C53" s="11">
        <f>(C19+C29)/C20</f>
        <v>6.3150697343163642E-2</v>
      </c>
      <c r="D53" s="11">
        <f>'Industry Summary'!L55</f>
        <v>4.8453002725657834E-2</v>
      </c>
      <c r="E53" s="11">
        <f>(D19+D29)/D20</f>
        <v>0.11399336719668783</v>
      </c>
      <c r="F53" s="11">
        <f>'Industry Summary'!L67</f>
        <v>5.3467726099874505E-2</v>
      </c>
    </row>
    <row r="54" spans="1:12" ht="9" customHeight="1"/>
    <row r="55" spans="1:12" ht="26.85" customHeight="1">
      <c r="A55" s="56" t="s">
        <v>72</v>
      </c>
      <c r="B55" s="81"/>
      <c r="C55" s="81"/>
      <c r="D55" s="81"/>
      <c r="E55" s="81"/>
      <c r="F55" s="81"/>
      <c r="G55" s="81"/>
      <c r="H55" s="81"/>
      <c r="I55" s="81"/>
      <c r="J55" s="81"/>
      <c r="K55" s="81"/>
      <c r="L55" s="81"/>
    </row>
    <row r="56" spans="1:12" ht="15.75" customHeight="1">
      <c r="C56" s="57" t="s">
        <v>28</v>
      </c>
      <c r="D56" s="84"/>
      <c r="E56" s="57" t="s">
        <v>29</v>
      </c>
      <c r="F56" s="84"/>
    </row>
    <row r="57" spans="1:12" ht="21.95" customHeight="1">
      <c r="A57" s="5" t="s">
        <v>57</v>
      </c>
      <c r="B57" s="5" t="s">
        <v>58</v>
      </c>
      <c r="C57" s="5" t="s">
        <v>59</v>
      </c>
      <c r="D57" s="5" t="s">
        <v>60</v>
      </c>
      <c r="E57" s="5" t="s">
        <v>59</v>
      </c>
      <c r="F57" s="5" t="s">
        <v>60</v>
      </c>
    </row>
    <row r="58" spans="1:12" ht="41.1" customHeight="1">
      <c r="A58" s="2" t="s">
        <v>73</v>
      </c>
      <c r="B58" s="50" t="s">
        <v>74</v>
      </c>
      <c r="C58" s="12">
        <f>C26/C22</f>
        <v>0.12130485760160256</v>
      </c>
      <c r="D58" s="12">
        <f>'Industry Summary'!L51</f>
        <v>0.11618978422920279</v>
      </c>
      <c r="E58" s="12">
        <f>D26/D22</f>
        <v>0.13793440773129739</v>
      </c>
      <c r="F58" s="12">
        <f>'Industry Summary'!L63</f>
        <v>0.19305876648692805</v>
      </c>
    </row>
    <row r="59" spans="1:12" ht="70.5" customHeight="1">
      <c r="A59" s="2" t="s">
        <v>75</v>
      </c>
      <c r="B59" s="50" t="s">
        <v>76</v>
      </c>
      <c r="C59" s="12">
        <f>C26/AVERAGE(C37,C21)</f>
        <v>0.13607762567910608</v>
      </c>
      <c r="D59" s="12">
        <f>'Industry Summary'!L52</f>
        <v>0.13330559294801242</v>
      </c>
      <c r="E59" s="12">
        <f>D26/AVERAGE(C21,D21)</f>
        <v>0.14960756905016925</v>
      </c>
      <c r="F59" s="12">
        <f>'Industry Summary'!L64</f>
        <v>0.20609893209627583</v>
      </c>
    </row>
    <row r="60" spans="1:12" ht="70.5" customHeight="1">
      <c r="A60" s="2" t="s">
        <v>77</v>
      </c>
      <c r="B60" s="50" t="s">
        <v>78</v>
      </c>
      <c r="C60" s="12">
        <f>C26/AVERAGE(C36,C20)</f>
        <v>0.19236244551560497</v>
      </c>
      <c r="D60" s="12">
        <f>'Industry Summary'!L53</f>
        <v>0.20662056251043043</v>
      </c>
      <c r="E60" s="12">
        <f>D26/AVERAGE(C20,D20)</f>
        <v>0.21346237800842147</v>
      </c>
      <c r="F60" s="12">
        <f>'Industry Summary'!L65</f>
        <v>0.33024034816826131</v>
      </c>
    </row>
    <row r="61" spans="1:12" ht="9" customHeight="1"/>
    <row r="62" spans="1:12" ht="26.85" customHeight="1">
      <c r="A62" s="56" t="s">
        <v>79</v>
      </c>
      <c r="B62" s="81"/>
      <c r="C62" s="81"/>
      <c r="D62" s="81"/>
      <c r="E62" s="81"/>
      <c r="F62" s="81"/>
      <c r="G62" s="81"/>
      <c r="H62" s="81"/>
      <c r="I62" s="81"/>
      <c r="J62" s="81"/>
      <c r="K62" s="81"/>
      <c r="L62" s="81"/>
    </row>
    <row r="63" spans="1:12" ht="15.75" customHeight="1">
      <c r="C63" s="57" t="s">
        <v>28</v>
      </c>
      <c r="D63" s="84"/>
      <c r="E63" s="57" t="s">
        <v>29</v>
      </c>
      <c r="F63" s="84"/>
    </row>
    <row r="64" spans="1:12" ht="21.95" customHeight="1">
      <c r="A64" s="5" t="s">
        <v>57</v>
      </c>
      <c r="B64" s="5" t="s">
        <v>58</v>
      </c>
      <c r="C64" s="5" t="s">
        <v>59</v>
      </c>
      <c r="D64" s="5" t="s">
        <v>60</v>
      </c>
      <c r="E64" s="5" t="s">
        <v>59</v>
      </c>
      <c r="F64" s="5" t="s">
        <v>60</v>
      </c>
    </row>
    <row r="65" spans="1:12" ht="138" customHeight="1">
      <c r="A65" s="2" t="s">
        <v>80</v>
      </c>
      <c r="B65" s="50" t="s">
        <v>81</v>
      </c>
      <c r="C65" s="11">
        <f>C23/AVERAGE(C35,C9)</f>
        <v>2.4061316888135211</v>
      </c>
      <c r="D65" s="11">
        <f>'Industry Summary'!L56</f>
        <v>3.0528355869658208</v>
      </c>
      <c r="E65" s="11">
        <f>D23/AVERAGE(C9,D9)</f>
        <v>2.3743700207158835</v>
      </c>
      <c r="F65" s="11">
        <f>'Industry Summary'!L68</f>
        <v>2.9688387658971824</v>
      </c>
    </row>
    <row r="66" spans="1:12" ht="9" customHeight="1"/>
    <row r="67" spans="1:12" ht="26.85" customHeight="1">
      <c r="A67" s="56" t="s">
        <v>82</v>
      </c>
      <c r="B67" s="81"/>
      <c r="C67" s="81"/>
      <c r="D67" s="81"/>
      <c r="E67" s="81"/>
      <c r="F67" s="81"/>
      <c r="G67" s="81"/>
      <c r="H67" s="81"/>
      <c r="I67" s="81"/>
      <c r="J67" s="81"/>
      <c r="K67" s="81"/>
      <c r="L67" s="81"/>
    </row>
    <row r="68" spans="1:12" ht="47.1" customHeight="1">
      <c r="A68" s="55" t="s">
        <v>83</v>
      </c>
      <c r="B68" s="81"/>
      <c r="C68" s="81"/>
      <c r="D68" s="81"/>
      <c r="E68" s="81"/>
      <c r="F68" s="81"/>
      <c r="G68" s="81"/>
      <c r="H68" s="81"/>
      <c r="I68" s="81"/>
      <c r="J68" s="81"/>
      <c r="K68" s="81"/>
      <c r="L68" s="81"/>
    </row>
    <row r="70" spans="1:12" ht="21.95" customHeight="1">
      <c r="A70" s="56" t="s">
        <v>84</v>
      </c>
      <c r="B70" s="81"/>
      <c r="C70" s="81"/>
      <c r="D70" s="81"/>
      <c r="E70" s="81"/>
      <c r="F70" s="81"/>
      <c r="G70" s="81"/>
      <c r="H70" s="81"/>
      <c r="I70" s="81"/>
      <c r="J70" s="81"/>
      <c r="K70" s="81"/>
      <c r="L70" s="81"/>
    </row>
    <row r="71" spans="1:12" ht="37.700000000000003" customHeight="1">
      <c r="A71" s="55" t="s">
        <v>85</v>
      </c>
      <c r="B71" s="81"/>
      <c r="C71" s="81"/>
      <c r="D71" s="81"/>
      <c r="E71" s="81"/>
      <c r="F71" s="81"/>
      <c r="G71" s="81"/>
      <c r="H71" s="81"/>
      <c r="I71" s="81"/>
      <c r="J71" s="81"/>
      <c r="K71" s="81"/>
      <c r="L71" s="81"/>
    </row>
    <row r="72" spans="1:12" ht="13.5" customHeight="1">
      <c r="A72" s="2" t="s">
        <v>86</v>
      </c>
      <c r="C72" s="4" t="s">
        <v>177</v>
      </c>
    </row>
    <row r="73" spans="1:12" ht="15.6" customHeight="1">
      <c r="A73" s="13" t="s">
        <v>43</v>
      </c>
      <c r="C73" s="7">
        <v>31226.98</v>
      </c>
    </row>
    <row r="75" spans="1:12" ht="21.95" customHeight="1">
      <c r="A75" s="56" t="s">
        <v>88</v>
      </c>
      <c r="B75" s="81"/>
      <c r="C75" s="81"/>
      <c r="D75" s="81"/>
      <c r="E75" s="81"/>
      <c r="F75" s="81"/>
      <c r="G75" s="81"/>
      <c r="H75" s="81"/>
      <c r="I75" s="81"/>
      <c r="J75" s="81"/>
      <c r="K75" s="81"/>
      <c r="L75" s="81"/>
    </row>
    <row r="76" spans="1:12" ht="13.5" customHeight="1">
      <c r="A76" s="2" t="s">
        <v>26</v>
      </c>
      <c r="C76" s="57" t="s">
        <v>177</v>
      </c>
      <c r="D76" s="84"/>
    </row>
    <row r="77" spans="1:12" ht="13.5" customHeight="1">
      <c r="C77" s="4" t="s">
        <v>28</v>
      </c>
      <c r="D77" s="4" t="s">
        <v>29</v>
      </c>
    </row>
    <row r="78" spans="1:12" ht="28.35" customHeight="1">
      <c r="A78" s="13" t="s">
        <v>89</v>
      </c>
      <c r="C78" s="7">
        <v>25045.99</v>
      </c>
      <c r="D78" s="7">
        <v>25802.01</v>
      </c>
    </row>
    <row r="79" spans="1:12" ht="15.6" customHeight="1">
      <c r="A79" s="13" t="s">
        <v>90</v>
      </c>
      <c r="C79" s="7">
        <v>143.77000000000001</v>
      </c>
      <c r="D79" s="7">
        <v>127.35</v>
      </c>
    </row>
    <row r="81" spans="1:12" ht="21.95" customHeight="1">
      <c r="A81" s="56" t="s">
        <v>91</v>
      </c>
      <c r="B81" s="81"/>
      <c r="C81" s="81"/>
      <c r="D81" s="81"/>
      <c r="E81" s="81"/>
      <c r="F81" s="81"/>
      <c r="G81" s="81"/>
      <c r="H81" s="81"/>
      <c r="I81" s="81"/>
      <c r="J81" s="81"/>
      <c r="K81" s="81"/>
      <c r="L81" s="81"/>
    </row>
    <row r="82" spans="1:12" ht="37.700000000000003" customHeight="1">
      <c r="A82" s="55" t="s">
        <v>92</v>
      </c>
      <c r="B82" s="81"/>
      <c r="C82" s="81"/>
      <c r="D82" s="81"/>
      <c r="E82" s="81"/>
      <c r="F82" s="81"/>
      <c r="G82" s="81"/>
      <c r="H82" s="81"/>
      <c r="I82" s="81"/>
      <c r="J82" s="81"/>
      <c r="K82" s="81"/>
      <c r="L82" s="81"/>
    </row>
    <row r="84" spans="1:12" ht="13.5" customHeight="1">
      <c r="C84" s="57" t="s">
        <v>28</v>
      </c>
      <c r="D84" s="84"/>
      <c r="E84" s="57" t="s">
        <v>29</v>
      </c>
      <c r="F84" s="84"/>
    </row>
    <row r="85" spans="1:12" ht="15.6" customHeight="1">
      <c r="A85" s="3" t="s">
        <v>57</v>
      </c>
      <c r="B85" s="3" t="s">
        <v>58</v>
      </c>
      <c r="C85" s="3" t="s">
        <v>59</v>
      </c>
      <c r="D85" s="3" t="s">
        <v>60</v>
      </c>
      <c r="E85" s="3" t="s">
        <v>59</v>
      </c>
      <c r="F85" s="3" t="s">
        <v>60</v>
      </c>
    </row>
    <row r="86" spans="1:12" ht="68.099999999999994" customHeight="1">
      <c r="A86" s="2" t="s">
        <v>93</v>
      </c>
      <c r="B86" s="50" t="s">
        <v>94</v>
      </c>
      <c r="C86" s="12">
        <f>(C22-C73)/C73</f>
        <v>-5.3618057205659916E-2</v>
      </c>
      <c r="D86" s="12">
        <f>'Industry Summary'!L75</f>
        <v>5.5003857669910948E-3</v>
      </c>
      <c r="E86" s="12">
        <f>(D22-C22)/C22</f>
        <v>4.1174987691459074E-2</v>
      </c>
      <c r="F86" s="12">
        <f>'Industry Summary'!L80</f>
        <v>3.8760261726408533E-3</v>
      </c>
    </row>
    <row r="87" spans="1:12" ht="36.75" customHeight="1">
      <c r="A87" s="2" t="s">
        <v>95</v>
      </c>
      <c r="B87" s="50" t="s">
        <v>96</v>
      </c>
      <c r="C87" s="12">
        <f>(C22-(C78-C79))/C22</f>
        <v>0.15736084581247367</v>
      </c>
      <c r="D87" s="12">
        <f>'Industry Summary'!L76</f>
        <v>0.13378095531393658</v>
      </c>
      <c r="E87" s="12">
        <f>(D22-(D78-D79))/D22</f>
        <v>0.16558030879949873</v>
      </c>
      <c r="F87" s="12">
        <f>'Industry Summary'!L81</f>
        <v>0.13140018742773768</v>
      </c>
    </row>
    <row r="88" spans="1:12" ht="9" customHeight="1"/>
    <row r="89" spans="1:12" ht="26.85" customHeight="1">
      <c r="A89" s="56" t="s">
        <v>97</v>
      </c>
      <c r="B89" s="81"/>
      <c r="C89" s="81"/>
      <c r="D89" s="81"/>
      <c r="E89" s="81"/>
      <c r="F89" s="81"/>
      <c r="G89" s="81"/>
      <c r="H89" s="81"/>
      <c r="I89" s="81"/>
      <c r="J89" s="81"/>
      <c r="K89" s="81"/>
      <c r="L89" s="81"/>
    </row>
    <row r="90" spans="1:12" ht="32.1" customHeight="1">
      <c r="A90" s="55" t="s">
        <v>98</v>
      </c>
      <c r="B90" s="81"/>
      <c r="C90" s="81"/>
      <c r="D90" s="81"/>
      <c r="E90" s="81"/>
      <c r="F90" s="81"/>
      <c r="G90" s="81"/>
      <c r="H90" s="81"/>
      <c r="I90" s="81"/>
      <c r="J90" s="81"/>
      <c r="K90" s="81"/>
      <c r="L90" s="81"/>
    </row>
    <row r="92" spans="1:12" ht="15.75" customHeight="1">
      <c r="C92" s="57" t="s">
        <v>28</v>
      </c>
      <c r="D92" s="84"/>
      <c r="E92" s="57" t="s">
        <v>29</v>
      </c>
      <c r="F92" s="84"/>
    </row>
    <row r="93" spans="1:12" ht="21.95" customHeight="1">
      <c r="A93" s="5" t="s">
        <v>99</v>
      </c>
      <c r="B93" s="5" t="s">
        <v>58</v>
      </c>
      <c r="C93" s="5" t="s">
        <v>59</v>
      </c>
      <c r="D93" s="5" t="s">
        <v>60</v>
      </c>
      <c r="E93" s="5" t="s">
        <v>59</v>
      </c>
      <c r="F93" s="5" t="s">
        <v>60</v>
      </c>
    </row>
    <row r="94" spans="1:12" ht="29.25" customHeight="1">
      <c r="A94" s="10" t="s">
        <v>73</v>
      </c>
      <c r="B94" s="50" t="s">
        <v>100</v>
      </c>
      <c r="C94" s="12">
        <f>C26/C22</f>
        <v>0.12130485760160256</v>
      </c>
      <c r="D94" s="12">
        <f>'Industry Summary'!L51</f>
        <v>0.11618978422920279</v>
      </c>
      <c r="E94" s="12">
        <f>D26/D22</f>
        <v>0.13793440773129739</v>
      </c>
      <c r="F94" s="12">
        <f>'Industry Summary'!L63</f>
        <v>0.19305876648692805</v>
      </c>
    </row>
    <row r="95" spans="1:12" ht="29.25" customHeight="1">
      <c r="A95" s="10" t="s">
        <v>101</v>
      </c>
      <c r="B95" s="50" t="s">
        <v>102</v>
      </c>
      <c r="C95" s="11">
        <f>C22/AVERAGE(C37,C21)</f>
        <v>1.12178216412422</v>
      </c>
      <c r="D95" s="11">
        <f>'Industry Summary'!L100</f>
        <v>1.15981123610491</v>
      </c>
      <c r="E95" s="11">
        <f>D22/AVERAGE(C21,D21)</f>
        <v>1.0846283498865035</v>
      </c>
      <c r="F95" s="11">
        <f>'Industry Summary'!L107</f>
        <v>1.0467514310922286</v>
      </c>
    </row>
    <row r="96" spans="1:12" ht="36.75" customHeight="1">
      <c r="A96" s="10" t="s">
        <v>103</v>
      </c>
      <c r="B96" s="50" t="s">
        <v>104</v>
      </c>
      <c r="C96" s="11">
        <f>AVERAGE(C37,C21)/AVERAGE(C36,C20)</f>
        <v>1.4136228829361555</v>
      </c>
      <c r="D96" s="11">
        <f>'Industry Summary'!L101</f>
        <v>1.5300609788525232</v>
      </c>
      <c r="E96" s="11">
        <f>AVERAGE(C21,D21)/AVERAGE(C20,D20)</f>
        <v>1.426815363444875</v>
      </c>
      <c r="F96" s="11">
        <f>'Industry Summary'!L108</f>
        <v>1.4416243000688247</v>
      </c>
    </row>
    <row r="97" spans="1:12" ht="48.6" customHeight="1">
      <c r="A97" s="2" t="s">
        <v>105</v>
      </c>
      <c r="B97" s="50" t="s">
        <v>106</v>
      </c>
      <c r="C97" s="14">
        <f>C94*C95*C96</f>
        <v>0.19236244551560491</v>
      </c>
      <c r="D97" s="14">
        <f>D94*D95*D96</f>
        <v>0.20618828982399792</v>
      </c>
      <c r="E97" s="14">
        <f>E94*E95*E96</f>
        <v>0.21346237800842149</v>
      </c>
      <c r="F97" s="14">
        <f>F94*F95*F96</f>
        <v>0.29132998368373403</v>
      </c>
    </row>
    <row r="98" spans="1:12" ht="45.6" customHeight="1">
      <c r="A98" s="55" t="s">
        <v>178</v>
      </c>
      <c r="B98" s="81"/>
      <c r="C98" s="81"/>
      <c r="D98" s="81"/>
      <c r="E98" s="81"/>
      <c r="F98" s="81"/>
      <c r="G98" s="81"/>
      <c r="H98" s="81"/>
      <c r="I98" s="81"/>
      <c r="J98" s="81"/>
      <c r="K98" s="81"/>
      <c r="L98" s="81"/>
    </row>
    <row r="99" spans="1:12" ht="9" customHeight="1"/>
    <row r="100" spans="1:12" ht="26.85" customHeight="1">
      <c r="A100" s="56" t="s">
        <v>108</v>
      </c>
      <c r="B100" s="81"/>
      <c r="C100" s="81"/>
      <c r="D100" s="81"/>
      <c r="E100" s="81"/>
      <c r="F100" s="81"/>
      <c r="G100" s="81"/>
      <c r="H100" s="81"/>
      <c r="I100" s="81"/>
      <c r="J100" s="81"/>
      <c r="K100" s="81"/>
      <c r="L100" s="81"/>
    </row>
    <row r="101" spans="1:12" ht="35.1" customHeight="1">
      <c r="A101" s="55" t="s">
        <v>109</v>
      </c>
      <c r="B101" s="81"/>
      <c r="C101" s="81"/>
      <c r="D101" s="81"/>
      <c r="E101" s="81"/>
      <c r="F101" s="81"/>
      <c r="G101" s="81"/>
      <c r="H101" s="81"/>
      <c r="I101" s="81"/>
      <c r="J101" s="81"/>
      <c r="K101" s="81"/>
      <c r="L101" s="81"/>
    </row>
    <row r="103" spans="1:12" ht="56.1" customHeight="1">
      <c r="A103" s="55" t="s">
        <v>110</v>
      </c>
      <c r="B103" s="81"/>
      <c r="C103" s="81"/>
      <c r="D103" s="81"/>
      <c r="E103" s="81"/>
      <c r="F103" s="81"/>
      <c r="G103" s="81"/>
      <c r="H103" s="81"/>
      <c r="I103" s="81"/>
      <c r="J103" s="81"/>
      <c r="K103" s="81"/>
      <c r="L103" s="81"/>
    </row>
    <row r="105" spans="1:12" ht="21.95" customHeight="1">
      <c r="A105" s="5" t="s">
        <v>111</v>
      </c>
      <c r="B105" s="5" t="s">
        <v>58</v>
      </c>
      <c r="C105" s="5" t="s">
        <v>59</v>
      </c>
      <c r="D105" s="5" t="s">
        <v>60</v>
      </c>
      <c r="E105" s="5" t="s">
        <v>59</v>
      </c>
      <c r="F105" s="5" t="s">
        <v>60</v>
      </c>
    </row>
    <row r="106" spans="1:12" ht="36.75" customHeight="1">
      <c r="A106" s="10" t="s">
        <v>112</v>
      </c>
      <c r="B106" s="50" t="s">
        <v>113</v>
      </c>
      <c r="C106" s="12">
        <f>C26/C24</f>
        <v>0.73202945368559047</v>
      </c>
      <c r="D106" s="12">
        <f>'Industry Summary'!L116</f>
        <v>0.74455075714168328</v>
      </c>
      <c r="E106" s="12">
        <f>D26/D24</f>
        <v>0.74022778010325097</v>
      </c>
      <c r="F106" s="12">
        <f>'Industry Summary'!L127</f>
        <v>0.76399743065236247</v>
      </c>
    </row>
    <row r="107" spans="1:12" ht="36.75" customHeight="1">
      <c r="A107" s="10" t="s">
        <v>114</v>
      </c>
      <c r="B107" s="50" t="s">
        <v>115</v>
      </c>
      <c r="C107" s="12">
        <f>C24/(C24+C79)</f>
        <v>0.97147958222160502</v>
      </c>
      <c r="D107" s="12">
        <f>'Industry Summary'!L117</f>
        <v>0.97925395698897622</v>
      </c>
      <c r="E107" s="12">
        <f>D24/(D24+D79)</f>
        <v>0.97827144063675675</v>
      </c>
      <c r="F107" s="12">
        <f>'Industry Summary'!L128</f>
        <v>0.98174460403916297</v>
      </c>
    </row>
    <row r="108" spans="1:12" ht="29.25" customHeight="1">
      <c r="A108" s="10" t="s">
        <v>116</v>
      </c>
      <c r="B108" s="50" t="s">
        <v>117</v>
      </c>
      <c r="C108" s="12">
        <f>(C24+C79)/C22</f>
        <v>0.17057522760226243</v>
      </c>
      <c r="D108" s="12">
        <f>'Industry Summary'!L118</f>
        <v>0.15948466093114239</v>
      </c>
      <c r="E108" s="12">
        <f>(D24+D79)/D22</f>
        <v>0.19047933211740989</v>
      </c>
      <c r="F108" s="12">
        <f>'Industry Summary'!L129</f>
        <v>0.24689541654707003</v>
      </c>
    </row>
    <row r="109" spans="1:12" ht="48" customHeight="1">
      <c r="A109" s="10" t="s">
        <v>101</v>
      </c>
      <c r="B109" s="50" t="s">
        <v>118</v>
      </c>
      <c r="C109" s="11">
        <f>C95</f>
        <v>1.12178216412422</v>
      </c>
      <c r="D109" s="11">
        <f>'Industry Summary'!L100</f>
        <v>1.15981123610491</v>
      </c>
      <c r="E109" s="11">
        <f>E95</f>
        <v>1.0846283498865035</v>
      </c>
      <c r="F109" s="11">
        <f>'Industry Summary'!L107</f>
        <v>1.0467514310922286</v>
      </c>
    </row>
    <row r="110" spans="1:12" ht="59.25" customHeight="1">
      <c r="A110" s="10" t="s">
        <v>103</v>
      </c>
      <c r="B110" s="50" t="s">
        <v>119</v>
      </c>
      <c r="C110" s="11">
        <f>C96</f>
        <v>1.4136228829361555</v>
      </c>
      <c r="D110" s="11">
        <f>'Industry Summary'!L101</f>
        <v>1.5300609788525232</v>
      </c>
      <c r="E110" s="11">
        <f>E96</f>
        <v>1.426815363444875</v>
      </c>
      <c r="F110" s="11">
        <f>'Industry Summary'!L108</f>
        <v>1.4416243000688247</v>
      </c>
    </row>
    <row r="111" spans="1:12" ht="59.25" customHeight="1">
      <c r="A111" s="2" t="s">
        <v>120</v>
      </c>
      <c r="B111" s="50" t="s">
        <v>121</v>
      </c>
      <c r="C111" s="14">
        <f>C106*C107*C108*C109*C110</f>
        <v>0.19236244551560497</v>
      </c>
      <c r="D111" s="14">
        <f>D106*D107*D108*D109*D110</f>
        <v>0.20635006757934402</v>
      </c>
      <c r="E111" s="14">
        <f>E106*E107*E108*E109*E110</f>
        <v>0.21346237800842149</v>
      </c>
      <c r="F111" s="14">
        <f>F106*F107*F108*F109*F110</f>
        <v>0.27944677766678511</v>
      </c>
    </row>
    <row r="112" spans="1:12" ht="70.5" customHeight="1">
      <c r="A112" s="10" t="s">
        <v>122</v>
      </c>
      <c r="B112" s="50" t="s">
        <v>123</v>
      </c>
      <c r="C112" s="12">
        <f>C60</f>
        <v>0.19236244551560497</v>
      </c>
      <c r="D112" s="12">
        <f>D60</f>
        <v>0.20662056251043043</v>
      </c>
      <c r="E112" s="12">
        <f>E60</f>
        <v>0.21346237800842147</v>
      </c>
      <c r="F112" s="12">
        <f>F60</f>
        <v>0.33024034816826131</v>
      </c>
    </row>
    <row r="113" spans="1:12" ht="48" customHeight="1">
      <c r="A113" s="10" t="s">
        <v>124</v>
      </c>
      <c r="B113" s="50" t="s">
        <v>125</v>
      </c>
      <c r="C113" s="15">
        <f>C111-C112</f>
        <v>0</v>
      </c>
      <c r="D113" s="15">
        <f>D111-D112</f>
        <v>-2.7049493108641243E-4</v>
      </c>
      <c r="E113" s="15">
        <f>E111-E112</f>
        <v>0</v>
      </c>
      <c r="F113" s="15">
        <f>F111-F112</f>
        <v>-5.0793570501476204E-2</v>
      </c>
    </row>
    <row r="114" spans="1:12" ht="51" customHeight="1">
      <c r="A114" s="55" t="s">
        <v>126</v>
      </c>
      <c r="B114" s="81"/>
      <c r="C114" s="81"/>
      <c r="D114" s="81"/>
      <c r="E114" s="81"/>
      <c r="F114" s="81"/>
      <c r="G114" s="81"/>
      <c r="H114" s="81"/>
      <c r="I114" s="81"/>
      <c r="J114" s="81"/>
      <c r="K114" s="81"/>
      <c r="L114" s="81"/>
    </row>
    <row r="115" spans="1:12" ht="9" customHeight="1"/>
    <row r="116" spans="1:12" ht="26.85" customHeight="1">
      <c r="A116" s="56" t="s">
        <v>127</v>
      </c>
      <c r="B116" s="81"/>
      <c r="C116" s="81"/>
      <c r="D116" s="81"/>
      <c r="E116" s="81"/>
      <c r="F116" s="81"/>
      <c r="G116" s="81"/>
      <c r="H116" s="81"/>
      <c r="I116" s="81"/>
      <c r="J116" s="81"/>
      <c r="K116" s="81"/>
      <c r="L116" s="81"/>
    </row>
    <row r="117" spans="1:12" ht="36.6" customHeight="1">
      <c r="A117" s="3" t="s">
        <v>57</v>
      </c>
      <c r="B117" s="3" t="s">
        <v>128</v>
      </c>
      <c r="C117" s="3" t="s">
        <v>129</v>
      </c>
      <c r="D117" s="3" t="s">
        <v>130</v>
      </c>
      <c r="E117" s="3" t="s">
        <v>131</v>
      </c>
    </row>
    <row r="118" spans="1:12" ht="15" customHeight="1">
      <c r="A118" s="51" t="s">
        <v>61</v>
      </c>
      <c r="B118" s="52">
        <f t="shared" ref="B118:E120" si="0">C45</f>
        <v>2.298500691740935</v>
      </c>
      <c r="C118" s="52">
        <f t="shared" si="0"/>
        <v>2.4353778229716396</v>
      </c>
      <c r="D118" s="52">
        <f t="shared" si="0"/>
        <v>2.4631067046538049</v>
      </c>
      <c r="E118" s="52">
        <f t="shared" si="0"/>
        <v>2.4275972449136276</v>
      </c>
    </row>
    <row r="119" spans="1:12" ht="15" customHeight="1">
      <c r="A119" s="51" t="s">
        <v>63</v>
      </c>
      <c r="B119" s="52">
        <f t="shared" si="0"/>
        <v>1.3576960200765742</v>
      </c>
      <c r="C119" s="52">
        <f t="shared" si="0"/>
        <v>1.5808142416651734</v>
      </c>
      <c r="D119" s="52">
        <f t="shared" si="0"/>
        <v>1.7744366160996192</v>
      </c>
      <c r="E119" s="52">
        <f t="shared" si="0"/>
        <v>1.6811361655827657</v>
      </c>
    </row>
    <row r="120" spans="1:12" ht="15" customHeight="1">
      <c r="A120" s="51" t="s">
        <v>65</v>
      </c>
      <c r="B120" s="52">
        <f t="shared" si="0"/>
        <v>3.2540780541166631E-2</v>
      </c>
      <c r="C120" s="52">
        <f t="shared" si="0"/>
        <v>0.15262563733347595</v>
      </c>
      <c r="D120" s="52">
        <f t="shared" si="0"/>
        <v>6.3709341296168356E-2</v>
      </c>
      <c r="E120" s="52">
        <f t="shared" si="0"/>
        <v>0.11967228575278641</v>
      </c>
    </row>
    <row r="121" spans="1:12" ht="15" customHeight="1">
      <c r="A121" s="51" t="s">
        <v>68</v>
      </c>
      <c r="B121" s="52">
        <f t="shared" ref="B121:E122" si="1">C52</f>
        <v>2.0754887934140631E-3</v>
      </c>
      <c r="C121" s="52">
        <f t="shared" si="1"/>
        <v>4.2882759079160922E-4</v>
      </c>
      <c r="D121" s="52">
        <f t="shared" si="1"/>
        <v>5.7246424233791879E-2</v>
      </c>
      <c r="E121" s="52">
        <f t="shared" si="1"/>
        <v>1.1449284846758376E-2</v>
      </c>
    </row>
    <row r="122" spans="1:12" ht="15" customHeight="1">
      <c r="A122" s="51" t="s">
        <v>132</v>
      </c>
      <c r="B122" s="52">
        <f t="shared" si="1"/>
        <v>6.3150697343163642E-2</v>
      </c>
      <c r="C122" s="52">
        <f t="shared" si="1"/>
        <v>4.8453002725657834E-2</v>
      </c>
      <c r="D122" s="52">
        <f t="shared" si="1"/>
        <v>0.11399336719668783</v>
      </c>
      <c r="E122" s="52">
        <f t="shared" si="1"/>
        <v>5.3467726099874505E-2</v>
      </c>
    </row>
    <row r="123" spans="1:12" ht="15" customHeight="1"/>
    <row r="124" spans="1:12" ht="15" customHeight="1"/>
    <row r="125" spans="1:12" ht="15" customHeight="1"/>
    <row r="143" spans="1:5" ht="36.6" customHeight="1">
      <c r="A143" s="3" t="s">
        <v>57</v>
      </c>
      <c r="B143" s="3" t="s">
        <v>128</v>
      </c>
      <c r="C143" s="3" t="s">
        <v>129</v>
      </c>
      <c r="D143" s="3" t="s">
        <v>130</v>
      </c>
      <c r="E143" s="3" t="s">
        <v>131</v>
      </c>
    </row>
    <row r="144" spans="1:5" ht="15" customHeight="1">
      <c r="A144" s="51" t="s">
        <v>73</v>
      </c>
      <c r="B144" s="53">
        <f t="shared" ref="B144:E146" si="2">C58</f>
        <v>0.12130485760160256</v>
      </c>
      <c r="C144" s="53">
        <f t="shared" si="2"/>
        <v>0.11618978422920279</v>
      </c>
      <c r="D144" s="53">
        <f t="shared" si="2"/>
        <v>0.13793440773129739</v>
      </c>
      <c r="E144" s="53">
        <f t="shared" si="2"/>
        <v>0.19305876648692805</v>
      </c>
    </row>
    <row r="145" spans="1:5" ht="15" customHeight="1">
      <c r="A145" s="51" t="s">
        <v>133</v>
      </c>
      <c r="B145" s="53">
        <f t="shared" si="2"/>
        <v>0.13607762567910608</v>
      </c>
      <c r="C145" s="53">
        <f t="shared" si="2"/>
        <v>0.13330559294801242</v>
      </c>
      <c r="D145" s="53">
        <f t="shared" si="2"/>
        <v>0.14960756905016925</v>
      </c>
      <c r="E145" s="53">
        <f t="shared" si="2"/>
        <v>0.20609893209627583</v>
      </c>
    </row>
    <row r="146" spans="1:5" ht="15" customHeight="1">
      <c r="A146" s="51" t="s">
        <v>134</v>
      </c>
      <c r="B146" s="53">
        <f t="shared" si="2"/>
        <v>0.19236244551560497</v>
      </c>
      <c r="C146" s="53">
        <f t="shared" si="2"/>
        <v>0.20662056251043043</v>
      </c>
      <c r="D146" s="53">
        <f t="shared" si="2"/>
        <v>0.21346237800842147</v>
      </c>
      <c r="E146" s="53">
        <f t="shared" si="2"/>
        <v>0.33024034816826131</v>
      </c>
    </row>
    <row r="149" spans="1:5" ht="16.5" customHeight="1"/>
    <row r="150" spans="1:5" ht="16.5" customHeight="1"/>
    <row r="151" spans="1:5" ht="14.25" customHeight="1"/>
    <row r="152" spans="1:5" ht="14.25" customHeight="1"/>
    <row r="153" spans="1:5" ht="14.25" customHeight="1"/>
    <row r="154" spans="1:5" ht="14.25" customHeight="1"/>
    <row r="155" spans="1:5" ht="14.25" customHeight="1"/>
    <row r="156" spans="1:5" ht="14.25" customHeight="1"/>
    <row r="157" spans="1:5" ht="14.25" customHeight="1"/>
    <row r="159" spans="1:5" ht="16.5" customHeight="1"/>
    <row r="160" spans="1:5" ht="14.25" customHeight="1"/>
    <row r="161" spans="1:12" ht="14.25" customHeight="1"/>
    <row r="162" spans="1:12" ht="14.25" customHeight="1"/>
    <row r="163" spans="1:12" ht="14.25" customHeight="1"/>
    <row r="164" spans="1:12" ht="14.25" customHeight="1"/>
    <row r="165" spans="1:12" ht="14.25" customHeight="1"/>
    <row r="166" spans="1:12" ht="14.25" customHeight="1"/>
    <row r="167" spans="1:12" ht="9" customHeight="1"/>
    <row r="168" spans="1:12" ht="26.85" customHeight="1">
      <c r="A168" s="56" t="s">
        <v>135</v>
      </c>
      <c r="B168" s="81"/>
      <c r="C168" s="81"/>
      <c r="D168" s="81"/>
      <c r="E168" s="81"/>
      <c r="F168" s="81"/>
      <c r="G168" s="81"/>
      <c r="H168" s="81"/>
      <c r="I168" s="81"/>
      <c r="J168" s="81"/>
      <c r="K168" s="81"/>
      <c r="L168" s="81"/>
    </row>
    <row r="169" spans="1:12" ht="24.4" customHeight="1">
      <c r="A169" s="56" t="s">
        <v>136</v>
      </c>
      <c r="B169" s="81"/>
      <c r="C169" s="81"/>
      <c r="D169" s="81"/>
      <c r="E169" s="81"/>
      <c r="F169" s="81"/>
      <c r="G169" s="81"/>
      <c r="H169" s="81"/>
      <c r="I169" s="81"/>
      <c r="J169" s="81"/>
      <c r="K169" s="81"/>
      <c r="L169" s="81"/>
    </row>
    <row r="170" spans="1:12" ht="36.6" customHeight="1">
      <c r="A170" s="55" t="s">
        <v>137</v>
      </c>
      <c r="B170" s="81"/>
      <c r="C170" s="81"/>
      <c r="D170" s="81"/>
      <c r="E170" s="81"/>
      <c r="F170" s="81"/>
      <c r="G170" s="81"/>
      <c r="H170" s="81"/>
      <c r="I170" s="81"/>
      <c r="J170" s="81"/>
      <c r="K170" s="81"/>
      <c r="L170" s="81"/>
    </row>
    <row r="171" spans="1:12" ht="67.150000000000006" customHeight="1">
      <c r="A171" s="55" t="s">
        <v>138</v>
      </c>
      <c r="B171" s="81"/>
      <c r="C171" s="81"/>
      <c r="D171" s="81"/>
      <c r="E171" s="81"/>
      <c r="F171" s="81"/>
      <c r="G171" s="81"/>
      <c r="H171" s="81"/>
      <c r="I171" s="81"/>
      <c r="J171" s="81"/>
      <c r="K171" s="81"/>
      <c r="L171" s="81"/>
    </row>
    <row r="172" spans="1:12" ht="51.95" customHeight="1">
      <c r="A172" s="55" t="s">
        <v>139</v>
      </c>
      <c r="B172" s="81"/>
      <c r="C172" s="81"/>
      <c r="D172" s="81"/>
      <c r="E172" s="81"/>
      <c r="F172" s="81"/>
      <c r="G172" s="81"/>
      <c r="H172" s="81"/>
      <c r="I172" s="81"/>
      <c r="J172" s="81"/>
      <c r="K172" s="81"/>
      <c r="L172" s="81"/>
    </row>
    <row r="173" spans="1:12" ht="51.95" customHeight="1">
      <c r="A173" s="55" t="s">
        <v>140</v>
      </c>
      <c r="B173" s="81"/>
      <c r="C173" s="81"/>
      <c r="D173" s="81"/>
      <c r="E173" s="81"/>
      <c r="F173" s="81"/>
      <c r="G173" s="81"/>
      <c r="H173" s="81"/>
      <c r="I173" s="81"/>
      <c r="J173" s="81"/>
      <c r="K173" s="81"/>
      <c r="L173" s="81"/>
    </row>
    <row r="174" spans="1:12" ht="36.6" customHeight="1">
      <c r="A174" s="55" t="s">
        <v>141</v>
      </c>
      <c r="B174" s="81"/>
      <c r="C174" s="81"/>
      <c r="D174" s="81"/>
      <c r="E174" s="81"/>
      <c r="F174" s="81"/>
      <c r="G174" s="81"/>
      <c r="H174" s="81"/>
      <c r="I174" s="81"/>
      <c r="J174" s="81"/>
      <c r="K174" s="81"/>
      <c r="L174" s="81"/>
    </row>
    <row r="175" spans="1:12" ht="9" customHeight="1"/>
    <row r="176" spans="1:12" ht="21.95" customHeight="1">
      <c r="A176" s="56" t="s">
        <v>142</v>
      </c>
      <c r="B176" s="81"/>
      <c r="C176" s="81"/>
      <c r="D176" s="81"/>
      <c r="E176" s="81"/>
      <c r="F176" s="81"/>
      <c r="G176" s="81"/>
      <c r="H176" s="81"/>
      <c r="I176" s="81"/>
      <c r="J176" s="81"/>
      <c r="K176" s="81"/>
      <c r="L176" s="81"/>
    </row>
    <row r="177" spans="1:12" ht="16.5" customHeight="1">
      <c r="A177" s="6" t="s">
        <v>143</v>
      </c>
    </row>
    <row r="178" spans="1:12" ht="8.4499999999999993" customHeight="1">
      <c r="A178" s="60" t="s">
        <v>179</v>
      </c>
      <c r="B178" s="85"/>
      <c r="C178" s="85"/>
      <c r="D178" s="85"/>
      <c r="E178" s="85"/>
      <c r="F178" s="85"/>
      <c r="G178" s="85"/>
      <c r="H178" s="85"/>
      <c r="I178" s="85"/>
      <c r="J178" s="85"/>
      <c r="K178" s="85"/>
      <c r="L178" s="85"/>
    </row>
    <row r="179" spans="1:12" ht="8.4499999999999993" customHeight="1">
      <c r="A179" s="86"/>
      <c r="B179" s="81"/>
      <c r="C179" s="81"/>
      <c r="D179" s="81"/>
      <c r="E179" s="81"/>
      <c r="F179" s="81"/>
      <c r="G179" s="81"/>
      <c r="H179" s="81"/>
      <c r="I179" s="81"/>
      <c r="J179" s="81"/>
      <c r="K179" s="81"/>
      <c r="L179" s="81"/>
    </row>
    <row r="180" spans="1:12" ht="8.4499999999999993" customHeight="1">
      <c r="A180" s="86"/>
      <c r="B180" s="81"/>
      <c r="C180" s="81"/>
      <c r="D180" s="81"/>
      <c r="E180" s="81"/>
      <c r="F180" s="81"/>
      <c r="G180" s="81"/>
      <c r="H180" s="81"/>
      <c r="I180" s="81"/>
      <c r="J180" s="81"/>
      <c r="K180" s="81"/>
      <c r="L180" s="81"/>
    </row>
    <row r="181" spans="1:12" ht="8.4499999999999993" customHeight="1">
      <c r="A181" s="86"/>
      <c r="B181" s="81"/>
      <c r="C181" s="81"/>
      <c r="D181" s="81"/>
      <c r="E181" s="81"/>
      <c r="F181" s="81"/>
      <c r="G181" s="81"/>
      <c r="H181" s="81"/>
      <c r="I181" s="81"/>
      <c r="J181" s="81"/>
      <c r="K181" s="81"/>
      <c r="L181" s="81"/>
    </row>
    <row r="182" spans="1:12" ht="8.4499999999999993" customHeight="1">
      <c r="A182" s="86"/>
      <c r="B182" s="81"/>
      <c r="C182" s="81"/>
      <c r="D182" s="81"/>
      <c r="E182" s="81"/>
      <c r="F182" s="81"/>
      <c r="G182" s="81"/>
      <c r="H182" s="81"/>
      <c r="I182" s="81"/>
      <c r="J182" s="81"/>
      <c r="K182" s="81"/>
      <c r="L182" s="81"/>
    </row>
    <row r="183" spans="1:12" ht="8.4499999999999993" customHeight="1">
      <c r="A183" s="86"/>
      <c r="B183" s="81"/>
      <c r="C183" s="81"/>
      <c r="D183" s="81"/>
      <c r="E183" s="81"/>
      <c r="F183" s="81"/>
      <c r="G183" s="81"/>
      <c r="H183" s="81"/>
      <c r="I183" s="81"/>
      <c r="J183" s="81"/>
      <c r="K183" s="81"/>
      <c r="L183" s="81"/>
    </row>
    <row r="184" spans="1:12" ht="8.4499999999999993" customHeight="1">
      <c r="A184" s="86"/>
      <c r="B184" s="81"/>
      <c r="C184" s="81"/>
      <c r="D184" s="81"/>
      <c r="E184" s="81"/>
      <c r="F184" s="81"/>
      <c r="G184" s="81"/>
      <c r="H184" s="81"/>
      <c r="I184" s="81"/>
      <c r="J184" s="81"/>
      <c r="K184" s="81"/>
      <c r="L184" s="81"/>
    </row>
    <row r="185" spans="1:12" ht="8.4499999999999993" customHeight="1">
      <c r="A185" s="86"/>
      <c r="B185" s="81"/>
      <c r="C185" s="81"/>
      <c r="D185" s="81"/>
      <c r="E185" s="81"/>
      <c r="F185" s="81"/>
      <c r="G185" s="81"/>
      <c r="H185" s="81"/>
      <c r="I185" s="81"/>
      <c r="J185" s="81"/>
      <c r="K185" s="81"/>
      <c r="L185" s="81"/>
    </row>
    <row r="186" spans="1:12" ht="8.4499999999999993" customHeight="1">
      <c r="A186" s="86"/>
      <c r="B186" s="81"/>
      <c r="C186" s="81"/>
      <c r="D186" s="81"/>
      <c r="E186" s="81"/>
      <c r="F186" s="81"/>
      <c r="G186" s="81"/>
      <c r="H186" s="81"/>
      <c r="I186" s="81"/>
      <c r="J186" s="81"/>
      <c r="K186" s="81"/>
      <c r="L186" s="81"/>
    </row>
    <row r="187" spans="1:12" ht="8.4499999999999993" customHeight="1">
      <c r="A187" s="86"/>
      <c r="B187" s="81"/>
      <c r="C187" s="81"/>
      <c r="D187" s="81"/>
      <c r="E187" s="81"/>
      <c r="F187" s="81"/>
      <c r="G187" s="81"/>
      <c r="H187" s="81"/>
      <c r="I187" s="81"/>
      <c r="J187" s="81"/>
      <c r="K187" s="81"/>
      <c r="L187" s="81"/>
    </row>
    <row r="188" spans="1:12" ht="8.4499999999999993" customHeight="1">
      <c r="A188" s="86"/>
      <c r="B188" s="81"/>
      <c r="C188" s="81"/>
      <c r="D188" s="81"/>
      <c r="E188" s="81"/>
      <c r="F188" s="81"/>
      <c r="G188" s="81"/>
      <c r="H188" s="81"/>
      <c r="I188" s="81"/>
      <c r="J188" s="81"/>
      <c r="K188" s="81"/>
      <c r="L188" s="81"/>
    </row>
    <row r="189" spans="1:12" ht="14.25" customHeight="1"/>
    <row r="190" spans="1:12" ht="16.5" customHeight="1">
      <c r="A190" s="6" t="s">
        <v>145</v>
      </c>
    </row>
    <row r="191" spans="1:12" ht="8.85" customHeight="1">
      <c r="A191" s="60" t="s">
        <v>180</v>
      </c>
      <c r="B191" s="85"/>
      <c r="C191" s="85"/>
      <c r="D191" s="85"/>
      <c r="E191" s="85"/>
      <c r="F191" s="85"/>
      <c r="G191" s="85"/>
      <c r="H191" s="85"/>
      <c r="I191" s="85"/>
      <c r="J191" s="85"/>
      <c r="K191" s="85"/>
      <c r="L191" s="85"/>
    </row>
    <row r="192" spans="1:12" ht="8.85" customHeight="1">
      <c r="A192" s="86"/>
      <c r="B192" s="81"/>
      <c r="C192" s="81"/>
      <c r="D192" s="81"/>
      <c r="E192" s="81"/>
      <c r="F192" s="81"/>
      <c r="G192" s="81"/>
      <c r="H192" s="81"/>
      <c r="I192" s="81"/>
      <c r="J192" s="81"/>
      <c r="K192" s="81"/>
      <c r="L192" s="81"/>
    </row>
    <row r="193" spans="1:12" ht="8.85" customHeight="1">
      <c r="A193" s="86"/>
      <c r="B193" s="81"/>
      <c r="C193" s="81"/>
      <c r="D193" s="81"/>
      <c r="E193" s="81"/>
      <c r="F193" s="81"/>
      <c r="G193" s="81"/>
      <c r="H193" s="81"/>
      <c r="I193" s="81"/>
      <c r="J193" s="81"/>
      <c r="K193" s="81"/>
      <c r="L193" s="81"/>
    </row>
    <row r="194" spans="1:12" ht="8.85" customHeight="1">
      <c r="A194" s="86"/>
      <c r="B194" s="81"/>
      <c r="C194" s="81"/>
      <c r="D194" s="81"/>
      <c r="E194" s="81"/>
      <c r="F194" s="81"/>
      <c r="G194" s="81"/>
      <c r="H194" s="81"/>
      <c r="I194" s="81"/>
      <c r="J194" s="81"/>
      <c r="K194" s="81"/>
      <c r="L194" s="81"/>
    </row>
    <row r="195" spans="1:12" ht="8.85" customHeight="1">
      <c r="A195" s="86"/>
      <c r="B195" s="81"/>
      <c r="C195" s="81"/>
      <c r="D195" s="81"/>
      <c r="E195" s="81"/>
      <c r="F195" s="81"/>
      <c r="G195" s="81"/>
      <c r="H195" s="81"/>
      <c r="I195" s="81"/>
      <c r="J195" s="81"/>
      <c r="K195" s="81"/>
      <c r="L195" s="81"/>
    </row>
    <row r="196" spans="1:12" ht="8.85" customHeight="1">
      <c r="A196" s="86"/>
      <c r="B196" s="81"/>
      <c r="C196" s="81"/>
      <c r="D196" s="81"/>
      <c r="E196" s="81"/>
      <c r="F196" s="81"/>
      <c r="G196" s="81"/>
      <c r="H196" s="81"/>
      <c r="I196" s="81"/>
      <c r="J196" s="81"/>
      <c r="K196" s="81"/>
      <c r="L196" s="81"/>
    </row>
    <row r="197" spans="1:12" ht="8.85" customHeight="1">
      <c r="A197" s="86"/>
      <c r="B197" s="81"/>
      <c r="C197" s="81"/>
      <c r="D197" s="81"/>
      <c r="E197" s="81"/>
      <c r="F197" s="81"/>
      <c r="G197" s="81"/>
      <c r="H197" s="81"/>
      <c r="I197" s="81"/>
      <c r="J197" s="81"/>
      <c r="K197" s="81"/>
      <c r="L197" s="81"/>
    </row>
    <row r="198" spans="1:12" ht="8.85" customHeight="1">
      <c r="A198" s="86"/>
      <c r="B198" s="81"/>
      <c r="C198" s="81"/>
      <c r="D198" s="81"/>
      <c r="E198" s="81"/>
      <c r="F198" s="81"/>
      <c r="G198" s="81"/>
      <c r="H198" s="81"/>
      <c r="I198" s="81"/>
      <c r="J198" s="81"/>
      <c r="K198" s="81"/>
      <c r="L198" s="81"/>
    </row>
    <row r="199" spans="1:12" ht="8.85" customHeight="1">
      <c r="A199" s="86"/>
      <c r="B199" s="81"/>
      <c r="C199" s="81"/>
      <c r="D199" s="81"/>
      <c r="E199" s="81"/>
      <c r="F199" s="81"/>
      <c r="G199" s="81"/>
      <c r="H199" s="81"/>
      <c r="I199" s="81"/>
      <c r="J199" s="81"/>
      <c r="K199" s="81"/>
      <c r="L199" s="81"/>
    </row>
    <row r="200" spans="1:12" ht="8.85" customHeight="1">
      <c r="A200" s="86"/>
      <c r="B200" s="81"/>
      <c r="C200" s="81"/>
      <c r="D200" s="81"/>
      <c r="E200" s="81"/>
      <c r="F200" s="81"/>
      <c r="G200" s="81"/>
      <c r="H200" s="81"/>
      <c r="I200" s="81"/>
      <c r="J200" s="81"/>
      <c r="K200" s="81"/>
      <c r="L200" s="81"/>
    </row>
    <row r="201" spans="1:12" ht="8.85" customHeight="1">
      <c r="A201" s="86"/>
      <c r="B201" s="81"/>
      <c r="C201" s="81"/>
      <c r="D201" s="81"/>
      <c r="E201" s="81"/>
      <c r="F201" s="81"/>
      <c r="G201" s="81"/>
      <c r="H201" s="81"/>
      <c r="I201" s="81"/>
      <c r="J201" s="81"/>
      <c r="K201" s="81"/>
      <c r="L201" s="81"/>
    </row>
    <row r="202" spans="1:12" ht="8.85" customHeight="1">
      <c r="A202" s="86"/>
      <c r="B202" s="81"/>
      <c r="C202" s="81"/>
      <c r="D202" s="81"/>
      <c r="E202" s="81"/>
      <c r="F202" s="81"/>
      <c r="G202" s="81"/>
      <c r="H202" s="81"/>
      <c r="I202" s="81"/>
      <c r="J202" s="81"/>
      <c r="K202" s="81"/>
      <c r="L202" s="81"/>
    </row>
    <row r="203" spans="1:12" ht="12" customHeight="1"/>
    <row r="204" spans="1:12" ht="16.5" customHeight="1">
      <c r="A204" s="6" t="s">
        <v>147</v>
      </c>
    </row>
    <row r="205" spans="1:12" ht="7.7" customHeight="1">
      <c r="A205" s="60" t="s">
        <v>181</v>
      </c>
      <c r="B205" s="85"/>
      <c r="C205" s="85"/>
      <c r="D205" s="85"/>
      <c r="E205" s="85"/>
      <c r="F205" s="85"/>
      <c r="G205" s="85"/>
      <c r="H205" s="85"/>
      <c r="I205" s="85"/>
      <c r="J205" s="85"/>
      <c r="K205" s="85"/>
      <c r="L205" s="85"/>
    </row>
    <row r="206" spans="1:12" ht="7.7" customHeight="1">
      <c r="A206" s="86"/>
      <c r="B206" s="81"/>
      <c r="C206" s="81"/>
      <c r="D206" s="81"/>
      <c r="E206" s="81"/>
      <c r="F206" s="81"/>
      <c r="G206" s="81"/>
      <c r="H206" s="81"/>
      <c r="I206" s="81"/>
      <c r="J206" s="81"/>
      <c r="K206" s="81"/>
      <c r="L206" s="81"/>
    </row>
    <row r="207" spans="1:12" ht="7.7" customHeight="1">
      <c r="A207" s="86"/>
      <c r="B207" s="81"/>
      <c r="C207" s="81"/>
      <c r="D207" s="81"/>
      <c r="E207" s="81"/>
      <c r="F207" s="81"/>
      <c r="G207" s="81"/>
      <c r="H207" s="81"/>
      <c r="I207" s="81"/>
      <c r="J207" s="81"/>
      <c r="K207" s="81"/>
      <c r="L207" s="81"/>
    </row>
    <row r="208" spans="1:12" ht="7.7" customHeight="1">
      <c r="A208" s="86"/>
      <c r="B208" s="81"/>
      <c r="C208" s="81"/>
      <c r="D208" s="81"/>
      <c r="E208" s="81"/>
      <c r="F208" s="81"/>
      <c r="G208" s="81"/>
      <c r="H208" s="81"/>
      <c r="I208" s="81"/>
      <c r="J208" s="81"/>
      <c r="K208" s="81"/>
      <c r="L208" s="81"/>
    </row>
    <row r="209" spans="1:12" ht="7.7" customHeight="1">
      <c r="A209" s="86"/>
      <c r="B209" s="81"/>
      <c r="C209" s="81"/>
      <c r="D209" s="81"/>
      <c r="E209" s="81"/>
      <c r="F209" s="81"/>
      <c r="G209" s="81"/>
      <c r="H209" s="81"/>
      <c r="I209" s="81"/>
      <c r="J209" s="81"/>
      <c r="K209" s="81"/>
      <c r="L209" s="81"/>
    </row>
    <row r="210" spans="1:12" ht="7.7" customHeight="1">
      <c r="A210" s="86"/>
      <c r="B210" s="81"/>
      <c r="C210" s="81"/>
      <c r="D210" s="81"/>
      <c r="E210" s="81"/>
      <c r="F210" s="81"/>
      <c r="G210" s="81"/>
      <c r="H210" s="81"/>
      <c r="I210" s="81"/>
      <c r="J210" s="81"/>
      <c r="K210" s="81"/>
      <c r="L210" s="81"/>
    </row>
    <row r="211" spans="1:12" ht="7.7" customHeight="1">
      <c r="A211" s="86"/>
      <c r="B211" s="81"/>
      <c r="C211" s="81"/>
      <c r="D211" s="81"/>
      <c r="E211" s="81"/>
      <c r="F211" s="81"/>
      <c r="G211" s="81"/>
      <c r="H211" s="81"/>
      <c r="I211" s="81"/>
      <c r="J211" s="81"/>
      <c r="K211" s="81"/>
      <c r="L211" s="81"/>
    </row>
    <row r="212" spans="1:12" ht="7.7" customHeight="1">
      <c r="A212" s="86"/>
      <c r="B212" s="81"/>
      <c r="C212" s="81"/>
      <c r="D212" s="81"/>
      <c r="E212" s="81"/>
      <c r="F212" s="81"/>
      <c r="G212" s="81"/>
      <c r="H212" s="81"/>
      <c r="I212" s="81"/>
      <c r="J212" s="81"/>
      <c r="K212" s="81"/>
      <c r="L212" s="81"/>
    </row>
    <row r="213" spans="1:12" ht="7.7" customHeight="1">
      <c r="A213" s="86"/>
      <c r="B213" s="81"/>
      <c r="C213" s="81"/>
      <c r="D213" s="81"/>
      <c r="E213" s="81"/>
      <c r="F213" s="81"/>
      <c r="G213" s="81"/>
      <c r="H213" s="81"/>
      <c r="I213" s="81"/>
      <c r="J213" s="81"/>
      <c r="K213" s="81"/>
      <c r="L213" s="81"/>
    </row>
    <row r="214" spans="1:12" ht="7.7" customHeight="1">
      <c r="A214" s="86"/>
      <c r="B214" s="81"/>
      <c r="C214" s="81"/>
      <c r="D214" s="81"/>
      <c r="E214" s="81"/>
      <c r="F214" s="81"/>
      <c r="G214" s="81"/>
      <c r="H214" s="81"/>
      <c r="I214" s="81"/>
      <c r="J214" s="81"/>
      <c r="K214" s="81"/>
      <c r="L214" s="81"/>
    </row>
    <row r="215" spans="1:12" ht="7.7" customHeight="1">
      <c r="A215" s="86"/>
      <c r="B215" s="81"/>
      <c r="C215" s="81"/>
      <c r="D215" s="81"/>
      <c r="E215" s="81"/>
      <c r="F215" s="81"/>
      <c r="G215" s="81"/>
      <c r="H215" s="81"/>
      <c r="I215" s="81"/>
      <c r="J215" s="81"/>
      <c r="K215" s="81"/>
      <c r="L215" s="81"/>
    </row>
    <row r="216" spans="1:12" ht="7.7" customHeight="1">
      <c r="A216" s="86"/>
      <c r="B216" s="81"/>
      <c r="C216" s="81"/>
      <c r="D216" s="81"/>
      <c r="E216" s="81"/>
      <c r="F216" s="81"/>
      <c r="G216" s="81"/>
      <c r="H216" s="81"/>
      <c r="I216" s="81"/>
      <c r="J216" s="81"/>
      <c r="K216" s="81"/>
      <c r="L216" s="81"/>
    </row>
    <row r="218" spans="1:12" ht="16.5" customHeight="1">
      <c r="A218" s="6" t="s">
        <v>149</v>
      </c>
    </row>
    <row r="219" spans="1:12" ht="7.35" customHeight="1">
      <c r="A219" s="60" t="s">
        <v>182</v>
      </c>
      <c r="B219" s="85"/>
      <c r="C219" s="85"/>
      <c r="D219" s="85"/>
      <c r="E219" s="85"/>
      <c r="F219" s="85"/>
      <c r="G219" s="85"/>
      <c r="H219" s="85"/>
      <c r="I219" s="85"/>
      <c r="J219" s="85"/>
      <c r="K219" s="85"/>
      <c r="L219" s="85"/>
    </row>
    <row r="220" spans="1:12" ht="7.35" customHeight="1">
      <c r="A220" s="86"/>
      <c r="B220" s="81"/>
      <c r="C220" s="81"/>
      <c r="D220" s="81"/>
      <c r="E220" s="81"/>
      <c r="F220" s="81"/>
      <c r="G220" s="81"/>
      <c r="H220" s="81"/>
      <c r="I220" s="81"/>
      <c r="J220" s="81"/>
      <c r="K220" s="81"/>
      <c r="L220" s="81"/>
    </row>
    <row r="221" spans="1:12" ht="7.35" customHeight="1">
      <c r="A221" s="86"/>
      <c r="B221" s="81"/>
      <c r="C221" s="81"/>
      <c r="D221" s="81"/>
      <c r="E221" s="81"/>
      <c r="F221" s="81"/>
      <c r="G221" s="81"/>
      <c r="H221" s="81"/>
      <c r="I221" s="81"/>
      <c r="J221" s="81"/>
      <c r="K221" s="81"/>
      <c r="L221" s="81"/>
    </row>
    <row r="222" spans="1:12" ht="7.35" customHeight="1">
      <c r="A222" s="86"/>
      <c r="B222" s="81"/>
      <c r="C222" s="81"/>
      <c r="D222" s="81"/>
      <c r="E222" s="81"/>
      <c r="F222" s="81"/>
      <c r="G222" s="81"/>
      <c r="H222" s="81"/>
      <c r="I222" s="81"/>
      <c r="J222" s="81"/>
      <c r="K222" s="81"/>
      <c r="L222" s="81"/>
    </row>
    <row r="223" spans="1:12" ht="7.35" customHeight="1">
      <c r="A223" s="86"/>
      <c r="B223" s="81"/>
      <c r="C223" s="81"/>
      <c r="D223" s="81"/>
      <c r="E223" s="81"/>
      <c r="F223" s="81"/>
      <c r="G223" s="81"/>
      <c r="H223" s="81"/>
      <c r="I223" s="81"/>
      <c r="J223" s="81"/>
      <c r="K223" s="81"/>
      <c r="L223" s="81"/>
    </row>
    <row r="224" spans="1:12" ht="7.35" customHeight="1">
      <c r="A224" s="86"/>
      <c r="B224" s="81"/>
      <c r="C224" s="81"/>
      <c r="D224" s="81"/>
      <c r="E224" s="81"/>
      <c r="F224" s="81"/>
      <c r="G224" s="81"/>
      <c r="H224" s="81"/>
      <c r="I224" s="81"/>
      <c r="J224" s="81"/>
      <c r="K224" s="81"/>
      <c r="L224" s="81"/>
    </row>
    <row r="225" spans="1:12" ht="7.35" customHeight="1">
      <c r="A225" s="86"/>
      <c r="B225" s="81"/>
      <c r="C225" s="81"/>
      <c r="D225" s="81"/>
      <c r="E225" s="81"/>
      <c r="F225" s="81"/>
      <c r="G225" s="81"/>
      <c r="H225" s="81"/>
      <c r="I225" s="81"/>
      <c r="J225" s="81"/>
      <c r="K225" s="81"/>
      <c r="L225" s="81"/>
    </row>
    <row r="226" spans="1:12" ht="7.35" customHeight="1">
      <c r="A226" s="86"/>
      <c r="B226" s="81"/>
      <c r="C226" s="81"/>
      <c r="D226" s="81"/>
      <c r="E226" s="81"/>
      <c r="F226" s="81"/>
      <c r="G226" s="81"/>
      <c r="H226" s="81"/>
      <c r="I226" s="81"/>
      <c r="J226" s="81"/>
      <c r="K226" s="81"/>
      <c r="L226" s="81"/>
    </row>
    <row r="227" spans="1:12" ht="7.35" customHeight="1">
      <c r="A227" s="86"/>
      <c r="B227" s="81"/>
      <c r="C227" s="81"/>
      <c r="D227" s="81"/>
      <c r="E227" s="81"/>
      <c r="F227" s="81"/>
      <c r="G227" s="81"/>
      <c r="H227" s="81"/>
      <c r="I227" s="81"/>
      <c r="J227" s="81"/>
      <c r="K227" s="81"/>
      <c r="L227" s="81"/>
    </row>
    <row r="228" spans="1:12" ht="7.35" customHeight="1">
      <c r="A228" s="86"/>
      <c r="B228" s="81"/>
      <c r="C228" s="81"/>
      <c r="D228" s="81"/>
      <c r="E228" s="81"/>
      <c r="F228" s="81"/>
      <c r="G228" s="81"/>
      <c r="H228" s="81"/>
      <c r="I228" s="81"/>
      <c r="J228" s="81"/>
      <c r="K228" s="81"/>
      <c r="L228" s="81"/>
    </row>
    <row r="229" spans="1:12" ht="20.100000000000001" customHeight="1">
      <c r="A229" s="86"/>
      <c r="B229" s="81"/>
      <c r="C229" s="81"/>
      <c r="D229" s="81"/>
      <c r="E229" s="81"/>
      <c r="F229" s="81"/>
      <c r="G229" s="81"/>
      <c r="H229" s="81"/>
      <c r="I229" s="81"/>
      <c r="J229" s="81"/>
      <c r="K229" s="81"/>
      <c r="L229" s="81"/>
    </row>
    <row r="232" spans="1:12" ht="9.1999999999999993" customHeight="1">
      <c r="A232" s="55" t="s">
        <v>183</v>
      </c>
      <c r="B232" s="81"/>
      <c r="C232" s="81"/>
      <c r="D232" s="81"/>
      <c r="E232" s="81"/>
      <c r="F232" s="81"/>
      <c r="G232" s="81"/>
      <c r="H232" s="81"/>
      <c r="I232" s="81"/>
      <c r="J232" s="81"/>
      <c r="K232" s="81"/>
      <c r="L232" s="81"/>
    </row>
    <row r="233" spans="1:12" ht="9.1999999999999993" customHeight="1">
      <c r="A233" s="81"/>
      <c r="B233" s="81"/>
      <c r="C233" s="81"/>
      <c r="D233" s="81"/>
      <c r="E233" s="81"/>
      <c r="F233" s="81"/>
      <c r="G233" s="81"/>
      <c r="H233" s="81"/>
      <c r="I233" s="81"/>
      <c r="J233" s="81"/>
      <c r="K233" s="81"/>
      <c r="L233" s="81"/>
    </row>
    <row r="234" spans="1:12" ht="9.1999999999999993" customHeight="1">
      <c r="A234" s="81"/>
      <c r="B234" s="81"/>
      <c r="C234" s="81"/>
      <c r="D234" s="81"/>
      <c r="E234" s="81"/>
      <c r="F234" s="81"/>
      <c r="G234" s="81"/>
      <c r="H234" s="81"/>
      <c r="I234" s="81"/>
      <c r="J234" s="81"/>
      <c r="K234" s="81"/>
      <c r="L234" s="81"/>
    </row>
    <row r="235" spans="1:12" ht="9.1999999999999993" customHeight="1">
      <c r="A235" s="81"/>
      <c r="B235" s="81"/>
      <c r="C235" s="81"/>
      <c r="D235" s="81"/>
      <c r="E235" s="81"/>
      <c r="F235" s="81"/>
      <c r="G235" s="81"/>
      <c r="H235" s="81"/>
      <c r="I235" s="81"/>
      <c r="J235" s="81"/>
      <c r="K235" s="81"/>
      <c r="L235" s="81"/>
    </row>
    <row r="236" spans="1:12" ht="9.1999999999999993" customHeight="1">
      <c r="A236" s="81"/>
      <c r="B236" s="81"/>
      <c r="C236" s="81"/>
      <c r="D236" s="81"/>
      <c r="E236" s="81"/>
      <c r="F236" s="81"/>
      <c r="G236" s="81"/>
      <c r="H236" s="81"/>
      <c r="I236" s="81"/>
      <c r="J236" s="81"/>
      <c r="K236" s="81"/>
      <c r="L236" s="81"/>
    </row>
    <row r="237" spans="1:12" ht="9.1999999999999993" customHeight="1">
      <c r="A237" s="81"/>
      <c r="B237" s="81"/>
      <c r="C237" s="81"/>
      <c r="D237" s="81"/>
      <c r="E237" s="81"/>
      <c r="F237" s="81"/>
      <c r="G237" s="81"/>
      <c r="H237" s="81"/>
      <c r="I237" s="81"/>
      <c r="J237" s="81"/>
      <c r="K237" s="81"/>
      <c r="L237" s="81"/>
    </row>
    <row r="238" spans="1:12" ht="9.1999999999999993" customHeight="1">
      <c r="A238" s="81"/>
      <c r="B238" s="81"/>
      <c r="C238" s="81"/>
      <c r="D238" s="81"/>
      <c r="E238" s="81"/>
      <c r="F238" s="81"/>
      <c r="G238" s="81"/>
      <c r="H238" s="81"/>
      <c r="I238" s="81"/>
      <c r="J238" s="81"/>
      <c r="K238" s="81"/>
      <c r="L238" s="81"/>
    </row>
    <row r="239" spans="1:12" ht="9.1999999999999993" customHeight="1">
      <c r="A239" s="81"/>
      <c r="B239" s="81"/>
      <c r="C239" s="81"/>
      <c r="D239" s="81"/>
      <c r="E239" s="81"/>
      <c r="F239" s="81"/>
      <c r="G239" s="81"/>
      <c r="H239" s="81"/>
      <c r="I239" s="81"/>
      <c r="J239" s="81"/>
      <c r="K239" s="81"/>
      <c r="L239" s="81"/>
    </row>
    <row r="240" spans="1:12" ht="9.1999999999999993" customHeight="1">
      <c r="A240" s="81"/>
      <c r="B240" s="81"/>
      <c r="C240" s="81"/>
      <c r="D240" s="81"/>
      <c r="E240" s="81"/>
      <c r="F240" s="81"/>
      <c r="G240" s="81"/>
      <c r="H240" s="81"/>
      <c r="I240" s="81"/>
      <c r="J240" s="81"/>
      <c r="K240" s="81"/>
      <c r="L240" s="81"/>
    </row>
    <row r="241" spans="1:12" ht="9.1999999999999993" customHeight="1">
      <c r="A241" s="81"/>
      <c r="B241" s="81"/>
      <c r="C241" s="81"/>
      <c r="D241" s="81"/>
      <c r="E241" s="81"/>
      <c r="F241" s="81"/>
      <c r="G241" s="81"/>
      <c r="H241" s="81"/>
      <c r="I241" s="81"/>
      <c r="J241" s="81"/>
      <c r="K241" s="81"/>
      <c r="L241" s="81"/>
    </row>
    <row r="242" spans="1:12" ht="9.1999999999999993" customHeight="1">
      <c r="A242" s="81"/>
      <c r="B242" s="81"/>
      <c r="C242" s="81"/>
      <c r="D242" s="81"/>
      <c r="E242" s="81"/>
      <c r="F242" s="81"/>
      <c r="G242" s="81"/>
      <c r="H242" s="81"/>
      <c r="I242" s="81"/>
      <c r="J242" s="81"/>
      <c r="K242" s="81"/>
      <c r="L242" s="81"/>
    </row>
    <row r="243" spans="1:12" ht="9.1999999999999993" customHeight="1">
      <c r="A243" s="81"/>
      <c r="B243" s="81"/>
      <c r="C243" s="81"/>
      <c r="D243" s="81"/>
      <c r="E243" s="81"/>
      <c r="F243" s="81"/>
      <c r="G243" s="81"/>
      <c r="H243" s="81"/>
      <c r="I243" s="81"/>
      <c r="J243" s="81"/>
      <c r="K243" s="81"/>
      <c r="L243" s="81"/>
    </row>
    <row r="244" spans="1:12" ht="9.1999999999999993" customHeight="1">
      <c r="A244" s="81"/>
      <c r="B244" s="81"/>
      <c r="C244" s="81"/>
      <c r="D244" s="81"/>
      <c r="E244" s="81"/>
      <c r="F244" s="81"/>
      <c r="G244" s="81"/>
      <c r="H244" s="81"/>
      <c r="I244" s="81"/>
      <c r="J244" s="81"/>
      <c r="K244" s="81"/>
      <c r="L244" s="81"/>
    </row>
    <row r="245" spans="1:12" ht="9.1999999999999993" customHeight="1">
      <c r="A245" s="81"/>
      <c r="B245" s="81"/>
      <c r="C245" s="81"/>
      <c r="D245" s="81"/>
      <c r="E245" s="81"/>
      <c r="F245" s="81"/>
      <c r="G245" s="81"/>
      <c r="H245" s="81"/>
      <c r="I245" s="81"/>
      <c r="J245" s="81"/>
      <c r="K245" s="81"/>
      <c r="L245" s="81"/>
    </row>
    <row r="246" spans="1:12" ht="9.1999999999999993" customHeight="1">
      <c r="A246" s="81"/>
      <c r="B246" s="81"/>
      <c r="C246" s="81"/>
      <c r="D246" s="81"/>
      <c r="E246" s="81"/>
      <c r="F246" s="81"/>
      <c r="G246" s="81"/>
      <c r="H246" s="81"/>
      <c r="I246" s="81"/>
      <c r="J246" s="81"/>
      <c r="K246" s="81"/>
      <c r="L246" s="81"/>
    </row>
    <row r="247" spans="1:12" ht="9.1999999999999993" customHeight="1">
      <c r="A247" s="81"/>
      <c r="B247" s="81"/>
      <c r="C247" s="81"/>
      <c r="D247" s="81"/>
      <c r="E247" s="81"/>
      <c r="F247" s="81"/>
      <c r="G247" s="81"/>
      <c r="H247" s="81"/>
      <c r="I247" s="81"/>
      <c r="J247" s="81"/>
      <c r="K247" s="81"/>
      <c r="L247" s="81"/>
    </row>
    <row r="248" spans="1:12" ht="9.1999999999999993" customHeight="1">
      <c r="A248" s="81"/>
      <c r="B248" s="81"/>
      <c r="C248" s="81"/>
      <c r="D248" s="81"/>
      <c r="E248" s="81"/>
      <c r="F248" s="81"/>
      <c r="G248" s="81"/>
      <c r="H248" s="81"/>
      <c r="I248" s="81"/>
      <c r="J248" s="81"/>
      <c r="K248" s="81"/>
      <c r="L248" s="81"/>
    </row>
    <row r="249" spans="1:12" ht="9.1999999999999993" customHeight="1">
      <c r="A249" s="81"/>
      <c r="B249" s="81"/>
      <c r="C249" s="81"/>
      <c r="D249" s="81"/>
      <c r="E249" s="81"/>
      <c r="F249" s="81"/>
      <c r="G249" s="81"/>
      <c r="H249" s="81"/>
      <c r="I249" s="81"/>
      <c r="J249" s="81"/>
      <c r="K249" s="81"/>
      <c r="L249" s="81"/>
    </row>
    <row r="250" spans="1:12" ht="9.1999999999999993" customHeight="1">
      <c r="A250" s="81"/>
      <c r="B250" s="81"/>
      <c r="C250" s="81"/>
      <c r="D250" s="81"/>
      <c r="E250" s="81"/>
      <c r="F250" s="81"/>
      <c r="G250" s="81"/>
      <c r="H250" s="81"/>
      <c r="I250" s="81"/>
      <c r="J250" s="81"/>
      <c r="K250" s="81"/>
      <c r="L250" s="81"/>
    </row>
    <row r="251" spans="1:12" ht="9" customHeight="1">
      <c r="A251" s="81"/>
      <c r="B251" s="81"/>
      <c r="C251" s="81"/>
      <c r="D251" s="81"/>
      <c r="E251" s="81"/>
      <c r="F251" s="81"/>
      <c r="G251" s="81"/>
      <c r="H251" s="81"/>
      <c r="I251" s="81"/>
      <c r="J251" s="81"/>
      <c r="K251" s="81"/>
      <c r="L251" s="81"/>
    </row>
    <row r="252" spans="1:12" ht="9" customHeight="1">
      <c r="A252" s="81"/>
      <c r="B252" s="81"/>
      <c r="C252" s="81"/>
      <c r="D252" s="81"/>
      <c r="E252" s="81"/>
      <c r="F252" s="81"/>
      <c r="G252" s="81"/>
      <c r="H252" s="81"/>
      <c r="I252" s="81"/>
      <c r="J252" s="81"/>
      <c r="K252" s="81"/>
      <c r="L252" s="81"/>
    </row>
    <row r="253" spans="1:12" ht="3.6" customHeight="1">
      <c r="A253" s="81"/>
      <c r="B253" s="81"/>
      <c r="C253" s="81"/>
      <c r="D253" s="81"/>
      <c r="E253" s="81"/>
      <c r="F253" s="81"/>
      <c r="G253" s="81"/>
      <c r="H253" s="81"/>
      <c r="I253" s="81"/>
      <c r="J253" s="81"/>
      <c r="K253" s="81"/>
      <c r="L253" s="81"/>
    </row>
    <row r="254" spans="1:12" ht="9" hidden="1" customHeight="1">
      <c r="A254" s="81"/>
      <c r="B254" s="81"/>
      <c r="C254" s="81"/>
      <c r="D254" s="81"/>
      <c r="E254" s="81"/>
      <c r="F254" s="81"/>
      <c r="G254" s="81"/>
      <c r="H254" s="81"/>
      <c r="I254" s="81"/>
      <c r="J254" s="81"/>
      <c r="K254" s="81"/>
      <c r="L254" s="81"/>
    </row>
    <row r="255" spans="1:12" ht="9" hidden="1" customHeight="1">
      <c r="A255" s="81"/>
      <c r="B255" s="81"/>
      <c r="C255" s="81"/>
      <c r="D255" s="81"/>
      <c r="E255" s="81"/>
      <c r="F255" s="81"/>
      <c r="G255" s="81"/>
      <c r="H255" s="81"/>
      <c r="I255" s="81"/>
      <c r="J255" s="81"/>
      <c r="K255" s="81"/>
      <c r="L255" s="81"/>
    </row>
    <row r="256" spans="1:12" ht="9" hidden="1" customHeight="1">
      <c r="A256" s="81"/>
      <c r="B256" s="81"/>
      <c r="C256" s="81"/>
      <c r="D256" s="81"/>
      <c r="E256" s="81"/>
      <c r="F256" s="81"/>
      <c r="G256" s="81"/>
      <c r="H256" s="81"/>
      <c r="I256" s="81"/>
      <c r="J256" s="81"/>
      <c r="K256" s="81"/>
      <c r="L256" s="81"/>
    </row>
    <row r="257" spans="1:12" ht="9" customHeight="1"/>
    <row r="258" spans="1:12" ht="21.95" customHeight="1">
      <c r="A258" s="56" t="s">
        <v>152</v>
      </c>
      <c r="B258" s="81"/>
      <c r="C258" s="81"/>
      <c r="D258" s="81"/>
      <c r="E258" s="81"/>
      <c r="F258" s="81"/>
      <c r="G258" s="81"/>
      <c r="H258" s="81"/>
      <c r="I258" s="81"/>
      <c r="J258" s="81"/>
      <c r="K258" s="81"/>
      <c r="L258" s="81"/>
    </row>
    <row r="259" spans="1:12" ht="53.1" customHeight="1">
      <c r="A259" s="61" t="s">
        <v>184</v>
      </c>
      <c r="B259" s="81"/>
      <c r="C259" s="81"/>
      <c r="D259" s="81"/>
      <c r="E259" s="81"/>
      <c r="F259" s="81"/>
      <c r="G259" s="81"/>
      <c r="H259" s="81"/>
      <c r="I259" s="81"/>
      <c r="J259" s="81"/>
      <c r="K259" s="81"/>
      <c r="L259" s="81"/>
    </row>
    <row r="261" spans="1:12" ht="104.1" customHeight="1">
      <c r="A261" s="55" t="s">
        <v>185</v>
      </c>
      <c r="B261" s="81"/>
      <c r="C261" s="81"/>
      <c r="D261" s="81"/>
      <c r="E261" s="81"/>
      <c r="F261" s="81"/>
      <c r="G261" s="81"/>
      <c r="H261" s="81"/>
      <c r="I261" s="81"/>
      <c r="J261" s="81"/>
      <c r="K261" s="81"/>
      <c r="L261" s="81"/>
    </row>
    <row r="262" spans="1:12" ht="9" customHeight="1"/>
    <row r="263" spans="1:12" ht="21.95" customHeight="1">
      <c r="A263" s="56" t="s">
        <v>155</v>
      </c>
      <c r="B263" s="81"/>
      <c r="C263" s="81"/>
      <c r="D263" s="81"/>
      <c r="E263" s="81"/>
      <c r="F263" s="81"/>
      <c r="G263" s="81"/>
      <c r="H263" s="81"/>
      <c r="I263" s="81"/>
      <c r="J263" s="81"/>
      <c r="K263" s="81"/>
      <c r="L263" s="81"/>
    </row>
    <row r="264" spans="1:12" ht="75.95" customHeight="1">
      <c r="A264" s="61" t="s">
        <v>186</v>
      </c>
      <c r="B264" s="81"/>
      <c r="C264" s="81"/>
      <c r="D264" s="81"/>
      <c r="E264" s="81"/>
      <c r="F264" s="81"/>
      <c r="G264" s="81"/>
      <c r="H264" s="81"/>
      <c r="I264" s="81"/>
      <c r="J264" s="81"/>
      <c r="K264" s="81"/>
      <c r="L264" s="81"/>
    </row>
    <row r="265" spans="1:12" ht="9" customHeight="1"/>
    <row r="266" spans="1:12" ht="41.45" customHeight="1">
      <c r="A266" s="59" t="s">
        <v>157</v>
      </c>
      <c r="B266" s="81"/>
      <c r="C266" s="81"/>
      <c r="D266" s="81"/>
      <c r="E266" s="81"/>
      <c r="F266" s="81"/>
      <c r="G266" s="81"/>
      <c r="H266" s="81"/>
      <c r="I266" s="81"/>
      <c r="J266" s="81"/>
      <c r="K266" s="81"/>
      <c r="L266" s="81"/>
    </row>
    <row r="267" spans="1:12" ht="36.6" customHeight="1">
      <c r="A267" s="2" t="s">
        <v>187</v>
      </c>
      <c r="C267" s="4" t="s">
        <v>28</v>
      </c>
      <c r="D267" s="4" t="s">
        <v>29</v>
      </c>
      <c r="E267" s="4" t="s">
        <v>159</v>
      </c>
    </row>
    <row r="268" spans="1:12">
      <c r="A268" s="2" t="s">
        <v>61</v>
      </c>
      <c r="C268" s="11">
        <f>'Industry Summary'!F18/'Industry Summary'!F22</f>
        <v>2.298500691740935</v>
      </c>
      <c r="D268" s="11">
        <f>'Industry Summary'!H18/'Industry Summary'!H22</f>
        <v>2.4631067046538049</v>
      </c>
      <c r="E268" s="11">
        <f>ABS(C268-C45)+ABS(D268-E45)</f>
        <v>0</v>
      </c>
    </row>
    <row r="269" spans="1:12">
      <c r="A269" s="2" t="s">
        <v>63</v>
      </c>
      <c r="C269" s="11">
        <f>('Industry Summary'!F18-'Industry Summary'!F13)/'Industry Summary'!F22</f>
        <v>1.3576960200765742</v>
      </c>
      <c r="D269" s="11">
        <f>('Industry Summary'!H18-'Industry Summary'!H13)/'Industry Summary'!H22</f>
        <v>1.7744366160996192</v>
      </c>
      <c r="E269" s="11">
        <f>ABS(C269-C46)+ABS(D269-E46)</f>
        <v>0</v>
      </c>
    </row>
    <row r="270" spans="1:12">
      <c r="A270" s="2" t="s">
        <v>65</v>
      </c>
      <c r="C270" s="11">
        <f>('Industry Summary'!F15+'Industry Summary'!F16)/'Industry Summary'!F22</f>
        <v>3.2540780541166631E-2</v>
      </c>
      <c r="D270" s="11">
        <f>('Industry Summary'!H15+'Industry Summary'!H16)/'Industry Summary'!H22</f>
        <v>6.3709341296168356E-2</v>
      </c>
      <c r="E270" s="11">
        <f>ABS(C270-C47)+ABS(D270-E47)</f>
        <v>0</v>
      </c>
    </row>
    <row r="271" spans="1:12">
      <c r="A271" s="2" t="s">
        <v>73</v>
      </c>
      <c r="C271" s="12">
        <f>'Industry Summary'!F30/'Industry Summary'!F26</f>
        <v>0.12130485760160256</v>
      </c>
      <c r="D271" s="12">
        <f>'Industry Summary'!H30/'Industry Summary'!H26</f>
        <v>0.13793440773129739</v>
      </c>
      <c r="E271" s="12">
        <f>ABS(C271-C58)+ABS(D271-E58)</f>
        <v>0</v>
      </c>
    </row>
    <row r="272" spans="1:12">
      <c r="A272" s="2" t="s">
        <v>75</v>
      </c>
      <c r="C272" s="12">
        <f>'Industry Summary'!F30/AVERAGE('Industry Summary'!F39,'Industry Summary'!F25)</f>
        <v>0.13607762567910608</v>
      </c>
      <c r="D272" s="12">
        <f>'Industry Summary'!H30/AVERAGE('Industry Summary'!F25,'Industry Summary'!H25)</f>
        <v>0.14960756905016925</v>
      </c>
      <c r="E272" s="12">
        <f>ABS(C272-C59)+ABS(D272-E59)</f>
        <v>0</v>
      </c>
    </row>
    <row r="273" spans="1:12">
      <c r="A273" s="2" t="s">
        <v>77</v>
      </c>
      <c r="C273" s="12">
        <f>'Industry Summary'!F30/AVERAGE('Industry Summary'!F38,'Industry Summary'!F24)</f>
        <v>0.19236244551560497</v>
      </c>
      <c r="D273" s="12">
        <f>'Industry Summary'!H30/AVERAGE('Industry Summary'!F24,'Industry Summary'!H24)</f>
        <v>0.21346237800842147</v>
      </c>
      <c r="E273" s="12">
        <f>ABS(C273-C60)+ABS(D273-E60)</f>
        <v>0</v>
      </c>
    </row>
    <row r="274" spans="1:12">
      <c r="A274" s="2" t="s">
        <v>68</v>
      </c>
      <c r="C274" s="11">
        <f>'Industry Summary'!F23/'Industry Summary'!F24</f>
        <v>2.0754887934140631E-3</v>
      </c>
      <c r="D274" s="11">
        <f>'Industry Summary'!H23/'Industry Summary'!H24</f>
        <v>5.7246424233791879E-2</v>
      </c>
      <c r="E274" s="11">
        <f>ABS(C274-C52)+ABS(D274-E52)</f>
        <v>0</v>
      </c>
    </row>
    <row r="275" spans="1:12">
      <c r="A275" s="2" t="s">
        <v>70</v>
      </c>
      <c r="C275" s="11">
        <f>('Industry Summary'!F23+'Industry Summary'!F33)/'Industry Summary'!F24</f>
        <v>6.3150697343163642E-2</v>
      </c>
      <c r="D275" s="11">
        <f>('Industry Summary'!H23+'Industry Summary'!H33)/'Industry Summary'!H24</f>
        <v>0.11399336719668783</v>
      </c>
      <c r="E275" s="11">
        <f>ABS(C275-C53)+ABS(D275-E53)</f>
        <v>0</v>
      </c>
    </row>
    <row r="276" spans="1:12">
      <c r="A276" s="2" t="s">
        <v>80</v>
      </c>
      <c r="C276" s="11">
        <f>'Industry Summary'!F27/AVERAGE('Industry Summary'!F37,'Industry Summary'!F13)</f>
        <v>2.4061316888135211</v>
      </c>
      <c r="D276" s="11">
        <f>'Industry Summary'!H27/AVERAGE('Industry Summary'!F13,'Industry Summary'!H13)</f>
        <v>2.3743700207158835</v>
      </c>
      <c r="E276" s="11">
        <f>ABS(C276-C65)+ABS(D276-E65)</f>
        <v>0</v>
      </c>
    </row>
    <row r="277" spans="1:12">
      <c r="A277" s="10" t="s">
        <v>101</v>
      </c>
      <c r="C277" s="11">
        <f>'Industry Summary'!F26/AVERAGE('Industry Summary'!F39,'Industry Summary'!F25)</f>
        <v>1.12178216412422</v>
      </c>
      <c r="D277" s="11">
        <f>'Industry Summary'!H26/AVERAGE('Industry Summary'!F25,'Industry Summary'!H25)</f>
        <v>1.0846283498865035</v>
      </c>
      <c r="E277" s="11">
        <f>ABS(C277-C95)+ABS(D277-E95)</f>
        <v>0</v>
      </c>
    </row>
    <row r="278" spans="1:12">
      <c r="A278" s="10" t="s">
        <v>103</v>
      </c>
      <c r="C278" s="11">
        <f>AVERAGE('Industry Summary'!F39,'Industry Summary'!F25)/AVERAGE('Industry Summary'!F38,'Industry Summary'!F24)</f>
        <v>1.4136228829361555</v>
      </c>
      <c r="D278" s="11">
        <f>AVERAGE('Industry Summary'!F25,'Industry Summary'!H25)/AVERAGE('Industry Summary'!F24,'Industry Summary'!H24)</f>
        <v>1.426815363444875</v>
      </c>
      <c r="E278" s="11">
        <f>ABS(C278-C96)+ABS(D278-E96)</f>
        <v>0</v>
      </c>
    </row>
    <row r="279" spans="1:12">
      <c r="A279" s="2" t="s">
        <v>93</v>
      </c>
      <c r="C279" s="12">
        <f>('Industry Summary'!F26-'Industry Summary'!F40)/'Industry Summary'!F40</f>
        <v>-5.3618057205659916E-2</v>
      </c>
      <c r="D279" s="12">
        <f>('Industry Summary'!H26-'Industry Summary'!F26)/'Industry Summary'!F26</f>
        <v>4.1174987691459074E-2</v>
      </c>
      <c r="E279" s="12">
        <f>ABS(C279-C86)+ABS(D279-E86)</f>
        <v>0</v>
      </c>
    </row>
    <row r="280" spans="1:12">
      <c r="A280" s="2" t="s">
        <v>95</v>
      </c>
      <c r="C280" s="12">
        <f>('Industry Summary'!F26-('Industry Summary'!F34-'Industry Summary'!F35))/'Industry Summary'!F26</f>
        <v>0.15736084581247367</v>
      </c>
      <c r="D280" s="12">
        <f>('Industry Summary'!H26-('Industry Summary'!H34-'Industry Summary'!H35))/'Industry Summary'!H26</f>
        <v>0.16558030879949873</v>
      </c>
      <c r="E280" s="12">
        <f>ABS(C280-C87)+ABS(D280-E87)</f>
        <v>0</v>
      </c>
    </row>
    <row r="281" spans="1:12">
      <c r="A281" s="10" t="s">
        <v>160</v>
      </c>
      <c r="C281" s="12">
        <f>'Industry Summary'!F30/'Industry Summary'!F28</f>
        <v>0.73202945368559047</v>
      </c>
      <c r="D281" s="12">
        <f>'Industry Summary'!H30/'Industry Summary'!H28</f>
        <v>0.74022778010325097</v>
      </c>
      <c r="E281" s="12">
        <f>ABS(C281-C106)+ABS(D281-E106)</f>
        <v>0</v>
      </c>
    </row>
    <row r="282" spans="1:12">
      <c r="A282" s="10" t="s">
        <v>161</v>
      </c>
      <c r="C282" s="12">
        <f>'Industry Summary'!F28/('Industry Summary'!F28+'Industry Summary'!F35)</f>
        <v>0.97147958222160502</v>
      </c>
      <c r="D282" s="12">
        <f>'Industry Summary'!H28/('Industry Summary'!H28+'Industry Summary'!H35)</f>
        <v>0.97827144063675675</v>
      </c>
      <c r="E282" s="12">
        <f>ABS(C282-C107)+ABS(D282-E107)</f>
        <v>0</v>
      </c>
    </row>
    <row r="283" spans="1:12">
      <c r="A283" s="10" t="s">
        <v>162</v>
      </c>
      <c r="C283" s="12">
        <f>('Industry Summary'!F28+'Industry Summary'!F35)/'Industry Summary'!F26</f>
        <v>0.17057522760226243</v>
      </c>
      <c r="D283" s="12">
        <f>('Industry Summary'!H28+'Industry Summary'!H35)/'Industry Summary'!H26</f>
        <v>0.19047933211740989</v>
      </c>
      <c r="E283" s="12">
        <f>ABS(C283-C108)+ABS(D283-E108)</f>
        <v>0</v>
      </c>
    </row>
    <row r="285" spans="1:12" ht="37.700000000000003" customHeight="1">
      <c r="A285" s="55" t="s">
        <v>163</v>
      </c>
      <c r="B285" s="81"/>
      <c r="C285" s="81"/>
      <c r="D285" s="81"/>
      <c r="E285" s="81"/>
      <c r="F285" s="81"/>
      <c r="G285" s="81"/>
      <c r="H285" s="81"/>
      <c r="I285" s="81"/>
      <c r="J285" s="81"/>
      <c r="K285" s="81"/>
      <c r="L285" s="81"/>
    </row>
  </sheetData>
  <mergeCells count="61">
    <mergeCell ref="A264:L264"/>
    <mergeCell ref="E92:F92"/>
    <mergeCell ref="A55:L55"/>
    <mergeCell ref="A285:L285"/>
    <mergeCell ref="A101:L101"/>
    <mergeCell ref="A263:L263"/>
    <mergeCell ref="A259:L259"/>
    <mergeCell ref="A178:L188"/>
    <mergeCell ref="A171:L171"/>
    <mergeCell ref="A68:L68"/>
    <mergeCell ref="A170:L170"/>
    <mergeCell ref="C76:D76"/>
    <mergeCell ref="A261:L261"/>
    <mergeCell ref="A266:L266"/>
    <mergeCell ref="A172:L172"/>
    <mergeCell ref="A205:L216"/>
    <mergeCell ref="A258:L258"/>
    <mergeCell ref="A40:L40"/>
    <mergeCell ref="A173:L173"/>
    <mergeCell ref="A67:L67"/>
    <mergeCell ref="A176:L176"/>
    <mergeCell ref="A114:L114"/>
    <mergeCell ref="A219:L229"/>
    <mergeCell ref="A82:L82"/>
    <mergeCell ref="A42:L42"/>
    <mergeCell ref="A71:L71"/>
    <mergeCell ref="C63:D63"/>
    <mergeCell ref="A116:L116"/>
    <mergeCell ref="E63:F63"/>
    <mergeCell ref="C50:D50"/>
    <mergeCell ref="C84:D84"/>
    <mergeCell ref="E84:F84"/>
    <mergeCell ref="A191:L202"/>
    <mergeCell ref="A169:L169"/>
    <mergeCell ref="A232:L256"/>
    <mergeCell ref="A49:L49"/>
    <mergeCell ref="A31:L31"/>
    <mergeCell ref="A39:L39"/>
    <mergeCell ref="A32:L32"/>
    <mergeCell ref="C56:D56"/>
    <mergeCell ref="A62:L62"/>
    <mergeCell ref="A81:L81"/>
    <mergeCell ref="C43:D43"/>
    <mergeCell ref="A100:L100"/>
    <mergeCell ref="E43:F43"/>
    <mergeCell ref="E50:F50"/>
    <mergeCell ref="C92:D92"/>
    <mergeCell ref="A174:L174"/>
    <mergeCell ref="A1:L1"/>
    <mergeCell ref="A103:L103"/>
    <mergeCell ref="A168:L168"/>
    <mergeCell ref="A6:L6"/>
    <mergeCell ref="A70:L70"/>
    <mergeCell ref="E56:F56"/>
    <mergeCell ref="C7:D7"/>
    <mergeCell ref="A98:L98"/>
    <mergeCell ref="A2:L2"/>
    <mergeCell ref="A4:L4"/>
    <mergeCell ref="A90:L90"/>
    <mergeCell ref="A75:L75"/>
    <mergeCell ref="A89:L89"/>
  </mergeCells>
  <pageMargins left="0.4" right="0.4" top="0.5" bottom="0.5" header="0.25" footer="0.25"/>
  <pageSetup paperSize="9" fitToHeight="0" orientation="landscape" horizontalDpi="300" verticalDpi="300"/>
  <headerFooter>
    <oddHeader>&amp;L&amp;"Times New Roman,Bold"&amp;9 FAA Major Project - Indian Paints Industry&amp;R&amp;"Times New Roman,Regular"&amp;9 &amp;A</oddHeader>
    <oddFooter>&amp;L&amp;"Times New Roman,Regular"&amp;8 Standalone, ₹ Crore&amp;C&amp;"Times New Roman,Regular"&amp;8 Page &amp;P of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86"/>
  <sheetViews>
    <sheetView tabSelected="1" topLeftCell="A270" zoomScale="85" zoomScaleNormal="85" workbookViewId="0">
      <selection activeCell="I284" sqref="I284"/>
    </sheetView>
  </sheetViews>
  <sheetFormatPr defaultColWidth="8.5703125" defaultRowHeight="14.1"/>
  <cols>
    <col min="1" max="1" width="46" style="1" customWidth="1"/>
    <col min="2" max="2" width="15" style="1" customWidth="1"/>
    <col min="3" max="11" width="13.42578125" style="1" customWidth="1"/>
    <col min="12" max="12" width="10" style="1" customWidth="1"/>
    <col min="13" max="16" width="8.7109375" style="1" customWidth="1"/>
    <col min="17" max="17" width="8.5703125" style="1" customWidth="1"/>
    <col min="18" max="16384" width="8.5703125" style="1"/>
  </cols>
  <sheetData>
    <row r="1" spans="1:12" ht="34.15" customHeight="1">
      <c r="A1" s="54" t="s">
        <v>188</v>
      </c>
      <c r="B1" s="81"/>
      <c r="C1" s="81"/>
      <c r="D1" s="81"/>
      <c r="E1" s="81"/>
      <c r="F1" s="81"/>
      <c r="G1" s="81"/>
      <c r="H1" s="81"/>
      <c r="I1" s="81"/>
      <c r="J1" s="81"/>
      <c r="K1" s="81"/>
      <c r="L1" s="81"/>
    </row>
    <row r="2" spans="1:12" ht="21.95" customHeight="1">
      <c r="A2" s="58" t="s">
        <v>23</v>
      </c>
      <c r="B2" s="81"/>
      <c r="C2" s="81"/>
      <c r="D2" s="81"/>
      <c r="E2" s="81"/>
      <c r="F2" s="81"/>
      <c r="G2" s="81"/>
      <c r="H2" s="81"/>
      <c r="I2" s="81"/>
      <c r="J2" s="81"/>
      <c r="K2" s="81"/>
      <c r="L2" s="81"/>
    </row>
    <row r="3" spans="1:12" ht="8.1" customHeight="1"/>
    <row r="4" spans="1:12" ht="26.85" customHeight="1">
      <c r="A4" s="59" t="s">
        <v>24</v>
      </c>
      <c r="B4" s="81"/>
      <c r="C4" s="81"/>
      <c r="D4" s="81"/>
      <c r="E4" s="81"/>
      <c r="F4" s="81"/>
      <c r="G4" s="81"/>
      <c r="H4" s="81"/>
      <c r="I4" s="81"/>
      <c r="J4" s="81"/>
      <c r="K4" s="81"/>
      <c r="L4" s="81"/>
    </row>
    <row r="5" spans="1:12" ht="9" customHeight="1"/>
    <row r="6" spans="1:12" ht="26.85" customHeight="1">
      <c r="A6" s="56" t="s">
        <v>25</v>
      </c>
      <c r="B6" s="81"/>
      <c r="C6" s="81"/>
      <c r="D6" s="81"/>
      <c r="E6" s="81"/>
      <c r="F6" s="81"/>
      <c r="G6" s="81"/>
      <c r="H6" s="81"/>
      <c r="I6" s="81"/>
      <c r="J6" s="81"/>
      <c r="K6" s="81"/>
      <c r="L6" s="81"/>
    </row>
    <row r="7" spans="1:12" ht="21.95" customHeight="1">
      <c r="A7" s="2" t="s">
        <v>26</v>
      </c>
      <c r="C7" s="57" t="s">
        <v>189</v>
      </c>
      <c r="D7" s="84"/>
    </row>
    <row r="8" spans="1:12" ht="15.75" customHeight="1">
      <c r="C8" s="4" t="s">
        <v>28</v>
      </c>
      <c r="D8" s="4" t="s">
        <v>29</v>
      </c>
    </row>
    <row r="9" spans="1:12" ht="15.75" customHeight="1">
      <c r="A9" s="13" t="s">
        <v>30</v>
      </c>
      <c r="C9" s="7">
        <v>604.70000000000005</v>
      </c>
      <c r="D9" s="7">
        <v>571.1</v>
      </c>
    </row>
    <row r="10" spans="1:12" ht="15.75" customHeight="1">
      <c r="A10" s="13" t="s">
        <v>31</v>
      </c>
      <c r="C10" s="7">
        <v>584.9</v>
      </c>
      <c r="D10" s="7">
        <v>602.9</v>
      </c>
    </row>
    <row r="11" spans="1:12" ht="15.75" customHeight="1">
      <c r="A11" s="13" t="s">
        <v>32</v>
      </c>
      <c r="C11" s="7">
        <v>247.2</v>
      </c>
      <c r="D11" s="7">
        <v>203.1</v>
      </c>
    </row>
    <row r="12" spans="1:12" ht="15.75" customHeight="1">
      <c r="A12" s="13" t="s">
        <v>33</v>
      </c>
      <c r="C12" s="7">
        <v>52.3</v>
      </c>
      <c r="D12" s="7">
        <v>53.9</v>
      </c>
    </row>
    <row r="13" spans="1:12" ht="29.25" customHeight="1">
      <c r="A13" s="13" t="s">
        <v>34</v>
      </c>
      <c r="C13" s="7">
        <v>511.3</v>
      </c>
      <c r="D13" s="7">
        <v>289.39999999999998</v>
      </c>
    </row>
    <row r="14" spans="1:12" ht="15.75" customHeight="1">
      <c r="A14" s="8" t="s">
        <v>35</v>
      </c>
      <c r="C14" s="9">
        <v>2000.4</v>
      </c>
      <c r="D14" s="9">
        <v>1720.4</v>
      </c>
    </row>
    <row r="15" spans="1:12" ht="15.75" customHeight="1">
      <c r="A15" s="13" t="s">
        <v>36</v>
      </c>
      <c r="C15" s="7">
        <v>956.6</v>
      </c>
      <c r="D15" s="7">
        <v>753.6</v>
      </c>
    </row>
    <row r="16" spans="1:12" ht="15.75" customHeight="1">
      <c r="A16" s="13" t="s">
        <v>37</v>
      </c>
      <c r="C16" s="7">
        <v>0</v>
      </c>
      <c r="D16" s="7">
        <v>0</v>
      </c>
    </row>
    <row r="17" spans="1:12" ht="29.25" customHeight="1">
      <c r="A17" s="13" t="s">
        <v>38</v>
      </c>
      <c r="C17" s="7">
        <v>493.6</v>
      </c>
      <c r="D17" s="7">
        <v>380.7</v>
      </c>
    </row>
    <row r="18" spans="1:12" ht="15.75" customHeight="1">
      <c r="A18" s="8" t="s">
        <v>39</v>
      </c>
      <c r="C18" s="9">
        <v>1450.2</v>
      </c>
      <c r="D18" s="9">
        <v>1134.3</v>
      </c>
    </row>
    <row r="19" spans="1:12" ht="29.25" customHeight="1">
      <c r="A19" s="13" t="s">
        <v>40</v>
      </c>
      <c r="C19" s="7">
        <v>0</v>
      </c>
      <c r="D19" s="7">
        <v>0</v>
      </c>
    </row>
    <row r="20" spans="1:12" ht="15.75" customHeight="1">
      <c r="A20" s="13" t="s">
        <v>41</v>
      </c>
      <c r="C20" s="7">
        <v>1328.7</v>
      </c>
      <c r="D20" s="7">
        <v>2394.1999999999998</v>
      </c>
    </row>
    <row r="21" spans="1:12" ht="15.75" customHeight="1">
      <c r="A21" s="8" t="s">
        <v>42</v>
      </c>
      <c r="C21" s="9">
        <v>2901.6</v>
      </c>
      <c r="D21" s="9">
        <v>3728.4</v>
      </c>
    </row>
    <row r="22" spans="1:12" ht="15.75" customHeight="1">
      <c r="A22" s="13" t="s">
        <v>43</v>
      </c>
      <c r="C22" s="7">
        <v>4091.2</v>
      </c>
      <c r="D22" s="7">
        <v>3599.2</v>
      </c>
    </row>
    <row r="23" spans="1:12" ht="15.75" customHeight="1">
      <c r="A23" s="13" t="s">
        <v>44</v>
      </c>
      <c r="C23" s="7">
        <v>2162.5</v>
      </c>
      <c r="D23" s="7">
        <v>1868.2</v>
      </c>
    </row>
    <row r="24" spans="1:12" ht="15.75" customHeight="1">
      <c r="A24" s="13" t="s">
        <v>45</v>
      </c>
      <c r="C24" s="7">
        <v>569.70000000000005</v>
      </c>
      <c r="D24" s="7">
        <v>2299.6999999999998</v>
      </c>
    </row>
    <row r="25" spans="1:12" ht="15.75" customHeight="1">
      <c r="A25" s="13" t="s">
        <v>46</v>
      </c>
      <c r="C25" s="7">
        <v>141.1</v>
      </c>
      <c r="D25" s="7">
        <v>382</v>
      </c>
    </row>
    <row r="26" spans="1:12" ht="15.75" customHeight="1">
      <c r="A26" s="8" t="s">
        <v>47</v>
      </c>
      <c r="C26" s="9">
        <v>428.6</v>
      </c>
      <c r="D26" s="9">
        <v>1917.7</v>
      </c>
    </row>
    <row r="27" spans="1:12" ht="29.25" customHeight="1">
      <c r="A27" s="13" t="s">
        <v>48</v>
      </c>
      <c r="C27" s="7">
        <v>0</v>
      </c>
      <c r="D27" s="7">
        <v>1846.3</v>
      </c>
    </row>
    <row r="28" spans="1:12" ht="15.75" customHeight="1">
      <c r="A28" s="8" t="s">
        <v>49</v>
      </c>
      <c r="C28" s="9">
        <v>569.70000000000005</v>
      </c>
      <c r="D28" s="9">
        <v>453.4</v>
      </c>
    </row>
    <row r="29" spans="1:12" ht="29.25" customHeight="1">
      <c r="A29" s="13" t="s">
        <v>50</v>
      </c>
      <c r="C29" s="7">
        <v>62.1</v>
      </c>
      <c r="D29" s="7">
        <v>79.099999999999994</v>
      </c>
    </row>
    <row r="31" spans="1:12" ht="21.95" customHeight="1">
      <c r="A31" s="56" t="s">
        <v>51</v>
      </c>
      <c r="B31" s="81"/>
      <c r="C31" s="81"/>
      <c r="D31" s="81"/>
      <c r="E31" s="81"/>
      <c r="F31" s="81"/>
      <c r="G31" s="81"/>
      <c r="H31" s="81"/>
      <c r="I31" s="81"/>
      <c r="J31" s="81"/>
      <c r="K31" s="81"/>
      <c r="L31" s="81"/>
    </row>
    <row r="32" spans="1:12" ht="37.700000000000003" customHeight="1">
      <c r="A32" s="55" t="s">
        <v>52</v>
      </c>
      <c r="B32" s="81"/>
      <c r="C32" s="81"/>
      <c r="D32" s="81"/>
      <c r="E32" s="81"/>
      <c r="F32" s="81"/>
      <c r="G32" s="81"/>
      <c r="H32" s="81"/>
      <c r="I32" s="81"/>
      <c r="J32" s="81"/>
      <c r="K32" s="81"/>
      <c r="L32" s="81"/>
    </row>
    <row r="34" spans="1:12" ht="15.75" customHeight="1">
      <c r="A34" s="2" t="s">
        <v>53</v>
      </c>
      <c r="C34" s="4" t="s">
        <v>189</v>
      </c>
    </row>
    <row r="35" spans="1:12" ht="15.75" customHeight="1">
      <c r="A35" s="10" t="s">
        <v>30</v>
      </c>
      <c r="C35" s="7">
        <v>611.5</v>
      </c>
    </row>
    <row r="36" spans="1:12" ht="15.75" customHeight="1">
      <c r="A36" s="10" t="s">
        <v>41</v>
      </c>
      <c r="C36" s="7">
        <v>1329.2</v>
      </c>
    </row>
    <row r="37" spans="1:12" ht="15.75" customHeight="1">
      <c r="A37" s="10" t="s">
        <v>42</v>
      </c>
      <c r="C37" s="7">
        <v>2903</v>
      </c>
    </row>
    <row r="38" spans="1:12" ht="9" customHeight="1"/>
    <row r="39" spans="1:12" ht="21.95" customHeight="1">
      <c r="A39" s="56" t="s">
        <v>54</v>
      </c>
      <c r="B39" s="81"/>
      <c r="C39" s="81"/>
      <c r="D39" s="81"/>
      <c r="E39" s="81"/>
      <c r="F39" s="81"/>
      <c r="G39" s="81"/>
      <c r="H39" s="81"/>
      <c r="I39" s="81"/>
      <c r="J39" s="81"/>
      <c r="K39" s="81"/>
      <c r="L39" s="81"/>
    </row>
    <row r="40" spans="1:12" ht="50.45" customHeight="1">
      <c r="A40" s="55" t="s">
        <v>55</v>
      </c>
      <c r="B40" s="81"/>
      <c r="C40" s="81"/>
      <c r="D40" s="81"/>
      <c r="E40" s="81"/>
      <c r="F40" s="81"/>
      <c r="G40" s="81"/>
      <c r="H40" s="81"/>
      <c r="I40" s="81"/>
      <c r="J40" s="81"/>
      <c r="K40" s="81"/>
      <c r="L40" s="81"/>
    </row>
    <row r="41" spans="1:12" ht="9" customHeight="1"/>
    <row r="42" spans="1:12" ht="26.85" customHeight="1">
      <c r="A42" s="56" t="s">
        <v>56</v>
      </c>
      <c r="B42" s="81"/>
      <c r="C42" s="81"/>
      <c r="D42" s="81"/>
      <c r="E42" s="81"/>
      <c r="F42" s="81"/>
      <c r="G42" s="81"/>
      <c r="H42" s="81"/>
      <c r="I42" s="81"/>
      <c r="J42" s="81"/>
      <c r="K42" s="81"/>
      <c r="L42" s="81"/>
    </row>
    <row r="43" spans="1:12" ht="15.75" customHeight="1">
      <c r="C43" s="57" t="s">
        <v>28</v>
      </c>
      <c r="D43" s="84"/>
      <c r="E43" s="57" t="s">
        <v>29</v>
      </c>
      <c r="F43" s="84"/>
    </row>
    <row r="44" spans="1:12" ht="21.95" customHeight="1">
      <c r="A44" s="5" t="s">
        <v>57</v>
      </c>
      <c r="B44" s="5" t="s">
        <v>58</v>
      </c>
      <c r="C44" s="5" t="s">
        <v>59</v>
      </c>
      <c r="D44" s="5" t="s">
        <v>60</v>
      </c>
      <c r="E44" s="5" t="s">
        <v>59</v>
      </c>
      <c r="F44" s="5" t="s">
        <v>60</v>
      </c>
    </row>
    <row r="45" spans="1:12" ht="41.1" customHeight="1">
      <c r="A45" s="2" t="s">
        <v>61</v>
      </c>
      <c r="B45" s="50" t="s">
        <v>62</v>
      </c>
      <c r="C45" s="11">
        <f>C14/C18</f>
        <v>1.3793959453868432</v>
      </c>
      <c r="D45" s="11">
        <f>'Industry Summary'!L48</f>
        <v>2.4353778229716396</v>
      </c>
      <c r="E45" s="11">
        <f>D14/D18</f>
        <v>1.5167063387110995</v>
      </c>
      <c r="F45" s="11">
        <f>'Industry Summary'!L60</f>
        <v>2.4275972449136276</v>
      </c>
    </row>
    <row r="46" spans="1:12" ht="41.1" customHeight="1">
      <c r="A46" s="2" t="s">
        <v>63</v>
      </c>
      <c r="B46" s="50" t="s">
        <v>64</v>
      </c>
      <c r="C46" s="11">
        <f>(C14-C9)/C18</f>
        <v>0.96241897669286991</v>
      </c>
      <c r="D46" s="11">
        <f>'Industry Summary'!L49</f>
        <v>1.5808142416651734</v>
      </c>
      <c r="E46" s="11">
        <f>(D14-D9)/D18</f>
        <v>1.0132240148108969</v>
      </c>
      <c r="F46" s="11">
        <f>'Industry Summary'!L61</f>
        <v>1.6811361655827657</v>
      </c>
    </row>
    <row r="47" spans="1:12" ht="48" customHeight="1">
      <c r="A47" s="2" t="s">
        <v>65</v>
      </c>
      <c r="B47" s="50" t="s">
        <v>66</v>
      </c>
      <c r="C47" s="11">
        <f>(C11+C12)/C18</f>
        <v>0.20652323817404494</v>
      </c>
      <c r="D47" s="11">
        <f>'Industry Summary'!L50</f>
        <v>0.15262563733347595</v>
      </c>
      <c r="E47" s="11">
        <f>(D11+D12)/D18</f>
        <v>0.22657145376002821</v>
      </c>
      <c r="F47" s="11">
        <f>'Industry Summary'!L62</f>
        <v>0.11967228575278641</v>
      </c>
    </row>
    <row r="48" spans="1:12" ht="9" customHeight="1"/>
    <row r="49" spans="1:12" ht="26.85" customHeight="1">
      <c r="A49" s="56" t="s">
        <v>67</v>
      </c>
      <c r="B49" s="81"/>
      <c r="C49" s="81"/>
      <c r="D49" s="81"/>
      <c r="E49" s="81"/>
      <c r="F49" s="81"/>
      <c r="G49" s="81"/>
      <c r="H49" s="81"/>
      <c r="I49" s="81"/>
      <c r="J49" s="81"/>
      <c r="K49" s="81"/>
      <c r="L49" s="81"/>
    </row>
    <row r="50" spans="1:12" ht="15.75" customHeight="1">
      <c r="C50" s="57" t="s">
        <v>28</v>
      </c>
      <c r="D50" s="84"/>
      <c r="E50" s="57" t="s">
        <v>29</v>
      </c>
      <c r="F50" s="84"/>
    </row>
    <row r="51" spans="1:12" ht="21.95" customHeight="1">
      <c r="A51" s="5" t="s">
        <v>57</v>
      </c>
      <c r="B51" s="5" t="s">
        <v>58</v>
      </c>
      <c r="C51" s="5" t="s">
        <v>59</v>
      </c>
      <c r="D51" s="5" t="s">
        <v>60</v>
      </c>
      <c r="E51" s="5" t="s">
        <v>59</v>
      </c>
      <c r="F51" s="5" t="s">
        <v>60</v>
      </c>
    </row>
    <row r="52" spans="1:12" ht="41.1" customHeight="1">
      <c r="A52" s="2" t="s">
        <v>68</v>
      </c>
      <c r="B52" s="50" t="s">
        <v>69</v>
      </c>
      <c r="C52" s="11">
        <f>C19/C20</f>
        <v>0</v>
      </c>
      <c r="D52" s="11">
        <f>'Industry Summary'!L54</f>
        <v>4.2882759079160922E-4</v>
      </c>
      <c r="E52" s="11">
        <f>D19/D20</f>
        <v>0</v>
      </c>
      <c r="F52" s="11">
        <f>'Industry Summary'!L66</f>
        <v>1.1449284846758376E-2</v>
      </c>
    </row>
    <row r="53" spans="1:12" ht="48" customHeight="1">
      <c r="A53" s="2" t="s">
        <v>70</v>
      </c>
      <c r="B53" s="50" t="s">
        <v>71</v>
      </c>
      <c r="C53" s="11">
        <f>(C19+C29)/C20</f>
        <v>4.673741250846692E-2</v>
      </c>
      <c r="D53" s="11">
        <f>'Industry Summary'!L55</f>
        <v>4.8453002725657834E-2</v>
      </c>
      <c r="E53" s="11">
        <f>(D19+D29)/D20</f>
        <v>3.3038175591011611E-2</v>
      </c>
      <c r="F53" s="11">
        <f>'Industry Summary'!L67</f>
        <v>5.3467726099874505E-2</v>
      </c>
    </row>
    <row r="54" spans="1:12" ht="9" customHeight="1"/>
    <row r="55" spans="1:12" ht="26.85" customHeight="1">
      <c r="A55" s="56" t="s">
        <v>72</v>
      </c>
      <c r="B55" s="81"/>
      <c r="C55" s="81"/>
      <c r="D55" s="81"/>
      <c r="E55" s="81"/>
      <c r="F55" s="81"/>
      <c r="G55" s="81"/>
      <c r="H55" s="81"/>
      <c r="I55" s="81"/>
      <c r="J55" s="81"/>
      <c r="K55" s="81"/>
      <c r="L55" s="81"/>
    </row>
    <row r="56" spans="1:12" ht="15.75" customHeight="1">
      <c r="C56" s="57" t="s">
        <v>28</v>
      </c>
      <c r="D56" s="84"/>
      <c r="E56" s="57" t="s">
        <v>29</v>
      </c>
      <c r="F56" s="84"/>
    </row>
    <row r="57" spans="1:12" ht="21.95" customHeight="1">
      <c r="A57" s="5" t="s">
        <v>57</v>
      </c>
      <c r="B57" s="5" t="s">
        <v>58</v>
      </c>
      <c r="C57" s="5" t="s">
        <v>59</v>
      </c>
      <c r="D57" s="5" t="s">
        <v>60</v>
      </c>
      <c r="E57" s="5" t="s">
        <v>59</v>
      </c>
      <c r="F57" s="5" t="s">
        <v>60</v>
      </c>
    </row>
    <row r="58" spans="1:12" ht="41.1" customHeight="1">
      <c r="A58" s="2" t="s">
        <v>73</v>
      </c>
      <c r="B58" s="50" t="s">
        <v>74</v>
      </c>
      <c r="C58" s="12">
        <f>C26/C22</f>
        <v>0.10476143918654675</v>
      </c>
      <c r="D58" s="12">
        <f>'Industry Summary'!L51</f>
        <v>0.11618978422920279</v>
      </c>
      <c r="E58" s="12">
        <f>D26/D22</f>
        <v>0.53281284729939993</v>
      </c>
      <c r="F58" s="12">
        <f>'Industry Summary'!L63</f>
        <v>0.19305876648692805</v>
      </c>
    </row>
    <row r="59" spans="1:12" ht="70.5" customHeight="1">
      <c r="A59" s="2" t="s">
        <v>75</v>
      </c>
      <c r="B59" s="50" t="s">
        <v>76</v>
      </c>
      <c r="C59" s="12">
        <f>C26/AVERAGE(C37,C21)</f>
        <v>0.14767598111842331</v>
      </c>
      <c r="D59" s="12">
        <f>'Industry Summary'!L52</f>
        <v>0.13330559294801242</v>
      </c>
      <c r="E59" s="12">
        <f>D26/AVERAGE(C21,D21)</f>
        <v>0.57849170437405728</v>
      </c>
      <c r="F59" s="12">
        <f>'Industry Summary'!L64</f>
        <v>0.20609893209627583</v>
      </c>
    </row>
    <row r="60" spans="1:12" ht="70.5" customHeight="1">
      <c r="A60" s="2" t="s">
        <v>77</v>
      </c>
      <c r="B60" s="50" t="s">
        <v>78</v>
      </c>
      <c r="C60" s="12">
        <f>C26/AVERAGE(C36,C20)</f>
        <v>0.32251025245494563</v>
      </c>
      <c r="D60" s="12">
        <f>'Industry Summary'!L53</f>
        <v>0.20662056251043043</v>
      </c>
      <c r="E60" s="12">
        <f>D26/AVERAGE(C20,D20)</f>
        <v>1.030218378146069</v>
      </c>
      <c r="F60" s="12">
        <f>'Industry Summary'!L65</f>
        <v>0.33024034816826131</v>
      </c>
    </row>
    <row r="61" spans="1:12" ht="9" customHeight="1"/>
    <row r="62" spans="1:12" ht="26.85" customHeight="1">
      <c r="A62" s="56" t="s">
        <v>79</v>
      </c>
      <c r="B62" s="81"/>
      <c r="C62" s="81"/>
      <c r="D62" s="81"/>
      <c r="E62" s="81"/>
      <c r="F62" s="81"/>
      <c r="G62" s="81"/>
      <c r="H62" s="81"/>
      <c r="I62" s="81"/>
      <c r="J62" s="81"/>
      <c r="K62" s="81"/>
      <c r="L62" s="81"/>
    </row>
    <row r="63" spans="1:12" ht="15.75" customHeight="1">
      <c r="C63" s="57" t="s">
        <v>28</v>
      </c>
      <c r="D63" s="84"/>
      <c r="E63" s="57" t="s">
        <v>29</v>
      </c>
      <c r="F63" s="84"/>
    </row>
    <row r="64" spans="1:12" ht="21.95" customHeight="1">
      <c r="A64" s="5" t="s">
        <v>57</v>
      </c>
      <c r="B64" s="5" t="s">
        <v>58</v>
      </c>
      <c r="C64" s="5" t="s">
        <v>59</v>
      </c>
      <c r="D64" s="5" t="s">
        <v>60</v>
      </c>
      <c r="E64" s="5" t="s">
        <v>59</v>
      </c>
      <c r="F64" s="5" t="s">
        <v>60</v>
      </c>
    </row>
    <row r="65" spans="1:12" ht="138" customHeight="1">
      <c r="A65" s="2" t="s">
        <v>80</v>
      </c>
      <c r="B65" s="50" t="s">
        <v>81</v>
      </c>
      <c r="C65" s="11">
        <f>C23/AVERAGE(C35,C9)</f>
        <v>3.5561585265581317</v>
      </c>
      <c r="D65" s="11">
        <f>'Industry Summary'!L56</f>
        <v>3.0528355869658208</v>
      </c>
      <c r="E65" s="11">
        <f>D23/AVERAGE(C9,D9)</f>
        <v>3.1777513182514028</v>
      </c>
      <c r="F65" s="11">
        <f>'Industry Summary'!L68</f>
        <v>2.9688387658971824</v>
      </c>
    </row>
    <row r="66" spans="1:12" ht="9" customHeight="1"/>
    <row r="67" spans="1:12" ht="26.85" customHeight="1">
      <c r="A67" s="56" t="s">
        <v>82</v>
      </c>
      <c r="B67" s="81"/>
      <c r="C67" s="81"/>
      <c r="D67" s="81"/>
      <c r="E67" s="81"/>
      <c r="F67" s="81"/>
      <c r="G67" s="81"/>
      <c r="H67" s="81"/>
      <c r="I67" s="81"/>
      <c r="J67" s="81"/>
      <c r="K67" s="81"/>
      <c r="L67" s="81"/>
    </row>
    <row r="68" spans="1:12" ht="47.1" customHeight="1">
      <c r="A68" s="55" t="s">
        <v>83</v>
      </c>
      <c r="B68" s="81"/>
      <c r="C68" s="81"/>
      <c r="D68" s="81"/>
      <c r="E68" s="81"/>
      <c r="F68" s="81"/>
      <c r="G68" s="81"/>
      <c r="H68" s="81"/>
      <c r="I68" s="81"/>
      <c r="J68" s="81"/>
      <c r="K68" s="81"/>
      <c r="L68" s="81"/>
    </row>
    <row r="70" spans="1:12" ht="21.95" customHeight="1">
      <c r="A70" s="56" t="s">
        <v>84</v>
      </c>
      <c r="B70" s="81"/>
      <c r="C70" s="81"/>
      <c r="D70" s="81"/>
      <c r="E70" s="81"/>
      <c r="F70" s="81"/>
      <c r="G70" s="81"/>
      <c r="H70" s="81"/>
      <c r="I70" s="81"/>
      <c r="J70" s="81"/>
      <c r="K70" s="81"/>
      <c r="L70" s="81"/>
    </row>
    <row r="71" spans="1:12" ht="37.700000000000003" customHeight="1">
      <c r="A71" s="55" t="s">
        <v>85</v>
      </c>
      <c r="B71" s="81"/>
      <c r="C71" s="81"/>
      <c r="D71" s="81"/>
      <c r="E71" s="81"/>
      <c r="F71" s="81"/>
      <c r="G71" s="81"/>
      <c r="H71" s="81"/>
      <c r="I71" s="81"/>
      <c r="J71" s="81"/>
      <c r="K71" s="81"/>
      <c r="L71" s="81"/>
    </row>
    <row r="72" spans="1:12" ht="13.5" customHeight="1">
      <c r="A72" s="2" t="s">
        <v>86</v>
      </c>
      <c r="C72" s="4" t="s">
        <v>189</v>
      </c>
    </row>
    <row r="73" spans="1:12" ht="15.6" customHeight="1">
      <c r="A73" s="13" t="s">
        <v>43</v>
      </c>
      <c r="C73" s="7">
        <v>3961.6</v>
      </c>
    </row>
    <row r="75" spans="1:12" ht="21.95" customHeight="1">
      <c r="A75" s="56" t="s">
        <v>88</v>
      </c>
      <c r="B75" s="81"/>
      <c r="C75" s="81"/>
      <c r="D75" s="81"/>
      <c r="E75" s="81"/>
      <c r="F75" s="81"/>
      <c r="G75" s="81"/>
      <c r="H75" s="81"/>
      <c r="I75" s="81"/>
      <c r="J75" s="81"/>
      <c r="K75" s="81"/>
      <c r="L75" s="81"/>
    </row>
    <row r="76" spans="1:12" ht="13.5" customHeight="1">
      <c r="A76" s="2" t="s">
        <v>26</v>
      </c>
      <c r="C76" s="57" t="s">
        <v>189</v>
      </c>
      <c r="D76" s="84"/>
    </row>
    <row r="77" spans="1:12" ht="13.5" customHeight="1">
      <c r="C77" s="4" t="s">
        <v>28</v>
      </c>
      <c r="D77" s="4" t="s">
        <v>29</v>
      </c>
    </row>
    <row r="78" spans="1:12" ht="28.35" customHeight="1">
      <c r="A78" s="13" t="s">
        <v>89</v>
      </c>
      <c r="C78" s="7">
        <v>3549.1</v>
      </c>
      <c r="D78" s="7">
        <v>3179.1</v>
      </c>
    </row>
    <row r="79" spans="1:12" ht="15.6" customHeight="1">
      <c r="A79" s="13" t="s">
        <v>90</v>
      </c>
      <c r="C79" s="7">
        <v>9.8000000000000007</v>
      </c>
      <c r="D79" s="7">
        <v>12.1</v>
      </c>
    </row>
    <row r="81" spans="1:12" ht="21.95" customHeight="1">
      <c r="A81" s="56" t="s">
        <v>91</v>
      </c>
      <c r="B81" s="81"/>
      <c r="C81" s="81"/>
      <c r="D81" s="81"/>
      <c r="E81" s="81"/>
      <c r="F81" s="81"/>
      <c r="G81" s="81"/>
      <c r="H81" s="81"/>
      <c r="I81" s="81"/>
      <c r="J81" s="81"/>
      <c r="K81" s="81"/>
      <c r="L81" s="81"/>
    </row>
    <row r="82" spans="1:12" ht="37.700000000000003" customHeight="1">
      <c r="A82" s="55" t="s">
        <v>92</v>
      </c>
      <c r="B82" s="81"/>
      <c r="C82" s="81"/>
      <c r="D82" s="81"/>
      <c r="E82" s="81"/>
      <c r="F82" s="81"/>
      <c r="G82" s="81"/>
      <c r="H82" s="81"/>
      <c r="I82" s="81"/>
      <c r="J82" s="81"/>
      <c r="K82" s="81"/>
      <c r="L82" s="81"/>
    </row>
    <row r="84" spans="1:12" ht="13.5" customHeight="1">
      <c r="C84" s="57" t="s">
        <v>28</v>
      </c>
      <c r="D84" s="84"/>
      <c r="E84" s="57" t="s">
        <v>29</v>
      </c>
      <c r="F84" s="84"/>
    </row>
    <row r="85" spans="1:12" ht="15.6" customHeight="1">
      <c r="A85" s="3" t="s">
        <v>57</v>
      </c>
      <c r="B85" s="3" t="s">
        <v>58</v>
      </c>
      <c r="C85" s="3" t="s">
        <v>59</v>
      </c>
      <c r="D85" s="3" t="s">
        <v>60</v>
      </c>
      <c r="E85" s="3" t="s">
        <v>59</v>
      </c>
      <c r="F85" s="3" t="s">
        <v>60</v>
      </c>
    </row>
    <row r="86" spans="1:12" ht="64.5" customHeight="1">
      <c r="A86" s="2" t="s">
        <v>93</v>
      </c>
      <c r="B86" s="50" t="s">
        <v>94</v>
      </c>
      <c r="C86" s="12">
        <f>(C22-C73)/C73</f>
        <v>3.2714054927302075E-2</v>
      </c>
      <c r="D86" s="12">
        <f>'Industry Summary'!L75</f>
        <v>5.5003857669910948E-3</v>
      </c>
      <c r="E86" s="12">
        <f>(D22-C22)/C22</f>
        <v>-0.12025811497849043</v>
      </c>
      <c r="F86" s="12">
        <f>'Industry Summary'!L80</f>
        <v>3.8760261726408533E-3</v>
      </c>
    </row>
    <row r="87" spans="1:12" ht="36.75" customHeight="1">
      <c r="A87" s="2" t="s">
        <v>95</v>
      </c>
      <c r="B87" s="50" t="s">
        <v>96</v>
      </c>
      <c r="C87" s="12">
        <f>(C22-(C78-C79))/C22</f>
        <v>0.13489929605005868</v>
      </c>
      <c r="D87" s="12">
        <f>'Industry Summary'!L76</f>
        <v>0.13378095531393658</v>
      </c>
      <c r="E87" s="12">
        <f>(D22-(D78-D79))/D22</f>
        <v>0.12008224049788838</v>
      </c>
      <c r="F87" s="12">
        <f>'Industry Summary'!L81</f>
        <v>0.13140018742773768</v>
      </c>
    </row>
    <row r="88" spans="1:12" ht="9" customHeight="1"/>
    <row r="89" spans="1:12" ht="26.85" customHeight="1">
      <c r="A89" s="56" t="s">
        <v>97</v>
      </c>
      <c r="B89" s="81"/>
      <c r="C89" s="81"/>
      <c r="D89" s="81"/>
      <c r="E89" s="81"/>
      <c r="F89" s="81"/>
      <c r="G89" s="81"/>
      <c r="H89" s="81"/>
      <c r="I89" s="81"/>
      <c r="J89" s="81"/>
      <c r="K89" s="81"/>
      <c r="L89" s="81"/>
    </row>
    <row r="90" spans="1:12" ht="32.1" customHeight="1">
      <c r="A90" s="55" t="s">
        <v>98</v>
      </c>
      <c r="B90" s="81"/>
      <c r="C90" s="81"/>
      <c r="D90" s="81"/>
      <c r="E90" s="81"/>
      <c r="F90" s="81"/>
      <c r="G90" s="81"/>
      <c r="H90" s="81"/>
      <c r="I90" s="81"/>
      <c r="J90" s="81"/>
      <c r="K90" s="81"/>
      <c r="L90" s="81"/>
    </row>
    <row r="92" spans="1:12" ht="15.75" customHeight="1">
      <c r="C92" s="57" t="s">
        <v>28</v>
      </c>
      <c r="D92" s="84"/>
      <c r="E92" s="57" t="s">
        <v>29</v>
      </c>
      <c r="F92" s="84"/>
    </row>
    <row r="93" spans="1:12" ht="21.95" customHeight="1">
      <c r="A93" s="5" t="s">
        <v>99</v>
      </c>
      <c r="B93" s="5" t="s">
        <v>58</v>
      </c>
      <c r="C93" s="5" t="s">
        <v>59</v>
      </c>
      <c r="D93" s="5" t="s">
        <v>60</v>
      </c>
      <c r="E93" s="5" t="s">
        <v>59</v>
      </c>
      <c r="F93" s="5" t="s">
        <v>60</v>
      </c>
    </row>
    <row r="94" spans="1:12" ht="29.25" customHeight="1">
      <c r="A94" s="10" t="s">
        <v>73</v>
      </c>
      <c r="B94" s="50" t="s">
        <v>100</v>
      </c>
      <c r="C94" s="12">
        <f>C26/C22</f>
        <v>0.10476143918654675</v>
      </c>
      <c r="D94" s="12">
        <f>'Industry Summary'!L51</f>
        <v>0.11618978422920279</v>
      </c>
      <c r="E94" s="12">
        <f>D26/D22</f>
        <v>0.53281284729939993</v>
      </c>
      <c r="F94" s="12">
        <f>'Industry Summary'!L63</f>
        <v>0.19305876648692805</v>
      </c>
    </row>
    <row r="95" spans="1:12" ht="29.25" customHeight="1">
      <c r="A95" s="10" t="s">
        <v>101</v>
      </c>
      <c r="B95" s="50" t="s">
        <v>102</v>
      </c>
      <c r="C95" s="11">
        <f>C22/AVERAGE(C37,C21)</f>
        <v>1.409640629845295</v>
      </c>
      <c r="D95" s="11">
        <f>'Industry Summary'!L100</f>
        <v>1.15981123610491</v>
      </c>
      <c r="E95" s="11">
        <f>D22/AVERAGE(C21,D21)</f>
        <v>1.0857315233785823</v>
      </c>
      <c r="F95" s="11">
        <f>'Industry Summary'!L107</f>
        <v>1.0467514310922286</v>
      </c>
    </row>
    <row r="96" spans="1:12" ht="36.75" customHeight="1">
      <c r="A96" s="10" t="s">
        <v>103</v>
      </c>
      <c r="B96" s="50" t="s">
        <v>104</v>
      </c>
      <c r="C96" s="11">
        <f>AVERAGE(C37,C21)/AVERAGE(C36,C20)</f>
        <v>2.1839045863275519</v>
      </c>
      <c r="D96" s="11">
        <f>'Industry Summary'!L101</f>
        <v>1.5300609788525232</v>
      </c>
      <c r="E96" s="11">
        <f>AVERAGE(C21,D21)/AVERAGE(C20,D20)</f>
        <v>1.7808697520749954</v>
      </c>
      <c r="F96" s="11">
        <f>'Industry Summary'!L108</f>
        <v>1.4416243000688247</v>
      </c>
    </row>
    <row r="97" spans="1:12" ht="48.6" customHeight="1">
      <c r="A97" s="2" t="s">
        <v>105</v>
      </c>
      <c r="B97" s="50" t="s">
        <v>106</v>
      </c>
      <c r="C97" s="14">
        <f>C94*C95*C96</f>
        <v>0.32251025245494569</v>
      </c>
      <c r="D97" s="14">
        <f>D94*D95*D96</f>
        <v>0.20618828982399792</v>
      </c>
      <c r="E97" s="14">
        <f>E94*E95*E96</f>
        <v>1.0302183781460692</v>
      </c>
      <c r="F97" s="14">
        <f>F94*F95*F96</f>
        <v>0.29132998368373403</v>
      </c>
    </row>
    <row r="98" spans="1:12" ht="45.6" customHeight="1">
      <c r="A98" s="55" t="s">
        <v>190</v>
      </c>
      <c r="B98" s="81"/>
      <c r="C98" s="81"/>
      <c r="D98" s="81"/>
      <c r="E98" s="81"/>
      <c r="F98" s="81"/>
      <c r="G98" s="81"/>
      <c r="H98" s="81"/>
      <c r="I98" s="81"/>
      <c r="J98" s="81"/>
      <c r="K98" s="81"/>
      <c r="L98" s="81"/>
    </row>
    <row r="99" spans="1:12" ht="9" customHeight="1"/>
    <row r="100" spans="1:12" ht="26.85" customHeight="1">
      <c r="A100" s="56" t="s">
        <v>108</v>
      </c>
      <c r="B100" s="81"/>
      <c r="C100" s="81"/>
      <c r="D100" s="81"/>
      <c r="E100" s="81"/>
      <c r="F100" s="81"/>
      <c r="G100" s="81"/>
      <c r="H100" s="81"/>
      <c r="I100" s="81"/>
      <c r="J100" s="81"/>
      <c r="K100" s="81"/>
      <c r="L100" s="81"/>
    </row>
    <row r="101" spans="1:12" ht="35.1" customHeight="1">
      <c r="A101" s="55" t="s">
        <v>109</v>
      </c>
      <c r="B101" s="81"/>
      <c r="C101" s="81"/>
      <c r="D101" s="81"/>
      <c r="E101" s="81"/>
      <c r="F101" s="81"/>
      <c r="G101" s="81"/>
      <c r="H101" s="81"/>
      <c r="I101" s="81"/>
      <c r="J101" s="81"/>
      <c r="K101" s="81"/>
      <c r="L101" s="81"/>
    </row>
    <row r="103" spans="1:12" ht="56.1" customHeight="1">
      <c r="A103" s="55" t="s">
        <v>110</v>
      </c>
      <c r="B103" s="81"/>
      <c r="C103" s="81"/>
      <c r="D103" s="81"/>
      <c r="E103" s="81"/>
      <c r="F103" s="81"/>
      <c r="G103" s="81"/>
      <c r="H103" s="81"/>
      <c r="I103" s="81"/>
      <c r="J103" s="81"/>
      <c r="K103" s="81"/>
      <c r="L103" s="81"/>
    </row>
    <row r="105" spans="1:12" ht="21.95" customHeight="1">
      <c r="A105" s="5" t="s">
        <v>111</v>
      </c>
      <c r="B105" s="5" t="s">
        <v>58</v>
      </c>
      <c r="C105" s="5" t="s">
        <v>59</v>
      </c>
      <c r="D105" s="5" t="s">
        <v>60</v>
      </c>
      <c r="E105" s="5" t="s">
        <v>59</v>
      </c>
      <c r="F105" s="5" t="s">
        <v>60</v>
      </c>
    </row>
    <row r="106" spans="1:12" ht="36.75" customHeight="1">
      <c r="A106" s="10" t="s">
        <v>112</v>
      </c>
      <c r="B106" s="50" t="s">
        <v>113</v>
      </c>
      <c r="C106" s="12">
        <f>C26/C24</f>
        <v>0.75232578550114093</v>
      </c>
      <c r="D106" s="12">
        <f>'Industry Summary'!L116</f>
        <v>0.74455075714168328</v>
      </c>
      <c r="E106" s="12">
        <f>D26/D24</f>
        <v>0.83389137713614825</v>
      </c>
      <c r="F106" s="12">
        <f>'Industry Summary'!L127</f>
        <v>0.76399743065236247</v>
      </c>
    </row>
    <row r="107" spans="1:12" ht="36.75" customHeight="1">
      <c r="A107" s="10" t="s">
        <v>114</v>
      </c>
      <c r="B107" s="50" t="s">
        <v>115</v>
      </c>
      <c r="C107" s="12">
        <f>C24/(C24+C79)</f>
        <v>0.98308886971527187</v>
      </c>
      <c r="D107" s="12">
        <f>'Industry Summary'!L117</f>
        <v>0.97925395698897622</v>
      </c>
      <c r="E107" s="12">
        <f>D24/(D24+D79)</f>
        <v>0.99476598321654131</v>
      </c>
      <c r="F107" s="12">
        <f>'Industry Summary'!L128</f>
        <v>0.98174460403916297</v>
      </c>
    </row>
    <row r="108" spans="1:12" ht="29.25" customHeight="1">
      <c r="A108" s="10" t="s">
        <v>116</v>
      </c>
      <c r="B108" s="50" t="s">
        <v>117</v>
      </c>
      <c r="C108" s="12">
        <f>(C24+C79)/C22</f>
        <v>0.14164548298787644</v>
      </c>
      <c r="D108" s="12">
        <f>'Industry Summary'!L118</f>
        <v>0.15948466093114239</v>
      </c>
      <c r="E108" s="12">
        <f>(D24+D79)/D22</f>
        <v>0.64230940208935317</v>
      </c>
      <c r="F108" s="12">
        <f>'Industry Summary'!L129</f>
        <v>0.24689541654707003</v>
      </c>
    </row>
    <row r="109" spans="1:12" ht="48" customHeight="1">
      <c r="A109" s="10" t="s">
        <v>101</v>
      </c>
      <c r="B109" s="50" t="s">
        <v>118</v>
      </c>
      <c r="C109" s="11">
        <f>C95</f>
        <v>1.409640629845295</v>
      </c>
      <c r="D109" s="11">
        <f>'Industry Summary'!L100</f>
        <v>1.15981123610491</v>
      </c>
      <c r="E109" s="11">
        <f>E95</f>
        <v>1.0857315233785823</v>
      </c>
      <c r="F109" s="11">
        <f>'Industry Summary'!L107</f>
        <v>1.0467514310922286</v>
      </c>
    </row>
    <row r="110" spans="1:12" ht="59.25" customHeight="1">
      <c r="A110" s="10" t="s">
        <v>103</v>
      </c>
      <c r="B110" s="50" t="s">
        <v>119</v>
      </c>
      <c r="C110" s="11">
        <f>C96</f>
        <v>2.1839045863275519</v>
      </c>
      <c r="D110" s="11">
        <f>'Industry Summary'!L101</f>
        <v>1.5300609788525232</v>
      </c>
      <c r="E110" s="11">
        <f>E96</f>
        <v>1.7808697520749954</v>
      </c>
      <c r="F110" s="11">
        <f>'Industry Summary'!L108</f>
        <v>1.4416243000688247</v>
      </c>
    </row>
    <row r="111" spans="1:12" ht="59.25" customHeight="1">
      <c r="A111" s="2" t="s">
        <v>120</v>
      </c>
      <c r="B111" s="50" t="s">
        <v>121</v>
      </c>
      <c r="C111" s="14">
        <f>C106*C107*C108*C109*C110</f>
        <v>0.32251025245494569</v>
      </c>
      <c r="D111" s="14">
        <f>D106*D107*D108*D109*D110</f>
        <v>0.20635006757934402</v>
      </c>
      <c r="E111" s="14">
        <f>E106*E107*E108*E109*E110</f>
        <v>1.0302183781460692</v>
      </c>
      <c r="F111" s="14">
        <f>F106*F107*F108*F109*F110</f>
        <v>0.27944677766678511</v>
      </c>
    </row>
    <row r="112" spans="1:12" ht="70.5" customHeight="1">
      <c r="A112" s="10" t="s">
        <v>122</v>
      </c>
      <c r="B112" s="50" t="s">
        <v>123</v>
      </c>
      <c r="C112" s="12">
        <f>C60</f>
        <v>0.32251025245494563</v>
      </c>
      <c r="D112" s="12">
        <f>D60</f>
        <v>0.20662056251043043</v>
      </c>
      <c r="E112" s="12">
        <f>E60</f>
        <v>1.030218378146069</v>
      </c>
      <c r="F112" s="12">
        <f>F60</f>
        <v>0.33024034816826131</v>
      </c>
    </row>
    <row r="113" spans="1:12" ht="48" customHeight="1">
      <c r="A113" s="10" t="s">
        <v>124</v>
      </c>
      <c r="B113" s="50" t="s">
        <v>125</v>
      </c>
      <c r="C113" s="15">
        <f>C111-C112</f>
        <v>0</v>
      </c>
      <c r="D113" s="15">
        <f>D111-D112</f>
        <v>-2.7049493108641243E-4</v>
      </c>
      <c r="E113" s="15">
        <f>E111-E112</f>
        <v>0</v>
      </c>
      <c r="F113" s="15">
        <f>F111-F112</f>
        <v>-5.0793570501476204E-2</v>
      </c>
    </row>
    <row r="114" spans="1:12" ht="51" customHeight="1">
      <c r="A114" s="55" t="s">
        <v>126</v>
      </c>
      <c r="B114" s="81"/>
      <c r="C114" s="81"/>
      <c r="D114" s="81"/>
      <c r="E114" s="81"/>
      <c r="F114" s="81"/>
      <c r="G114" s="81"/>
      <c r="H114" s="81"/>
      <c r="I114" s="81"/>
      <c r="J114" s="81"/>
      <c r="K114" s="81"/>
      <c r="L114" s="81"/>
    </row>
    <row r="115" spans="1:12" ht="9" customHeight="1"/>
    <row r="116" spans="1:12" ht="26.85" customHeight="1">
      <c r="A116" s="56" t="s">
        <v>127</v>
      </c>
      <c r="B116" s="81"/>
      <c r="C116" s="81"/>
      <c r="D116" s="81"/>
      <c r="E116" s="81"/>
      <c r="F116" s="81"/>
      <c r="G116" s="81"/>
      <c r="H116" s="81"/>
      <c r="I116" s="81"/>
      <c r="J116" s="81"/>
      <c r="K116" s="81"/>
      <c r="L116" s="81"/>
    </row>
    <row r="117" spans="1:12" ht="36.6" customHeight="1">
      <c r="A117" s="3" t="s">
        <v>57</v>
      </c>
      <c r="B117" s="3" t="s">
        <v>128</v>
      </c>
      <c r="C117" s="3" t="s">
        <v>129</v>
      </c>
      <c r="D117" s="3" t="s">
        <v>130</v>
      </c>
      <c r="E117" s="3" t="s">
        <v>131</v>
      </c>
    </row>
    <row r="118" spans="1:12" ht="15" customHeight="1">
      <c r="A118" s="51" t="s">
        <v>61</v>
      </c>
      <c r="B118" s="52">
        <f t="shared" ref="B118:E120" si="0">C45</f>
        <v>1.3793959453868432</v>
      </c>
      <c r="C118" s="52">
        <f t="shared" si="0"/>
        <v>2.4353778229716396</v>
      </c>
      <c r="D118" s="52">
        <f t="shared" si="0"/>
        <v>1.5167063387110995</v>
      </c>
      <c r="E118" s="52">
        <f t="shared" si="0"/>
        <v>2.4275972449136276</v>
      </c>
    </row>
    <row r="119" spans="1:12" ht="15" customHeight="1">
      <c r="A119" s="51" t="s">
        <v>63</v>
      </c>
      <c r="B119" s="52">
        <f t="shared" si="0"/>
        <v>0.96241897669286991</v>
      </c>
      <c r="C119" s="52">
        <f t="shared" si="0"/>
        <v>1.5808142416651734</v>
      </c>
      <c r="D119" s="52">
        <f t="shared" si="0"/>
        <v>1.0132240148108969</v>
      </c>
      <c r="E119" s="52">
        <f t="shared" si="0"/>
        <v>1.6811361655827657</v>
      </c>
    </row>
    <row r="120" spans="1:12" ht="15" customHeight="1">
      <c r="A120" s="51" t="s">
        <v>65</v>
      </c>
      <c r="B120" s="52">
        <f t="shared" si="0"/>
        <v>0.20652323817404494</v>
      </c>
      <c r="C120" s="52">
        <f t="shared" si="0"/>
        <v>0.15262563733347595</v>
      </c>
      <c r="D120" s="52">
        <f t="shared" si="0"/>
        <v>0.22657145376002821</v>
      </c>
      <c r="E120" s="52">
        <f t="shared" si="0"/>
        <v>0.11967228575278641</v>
      </c>
    </row>
    <row r="121" spans="1:12" ht="15" customHeight="1">
      <c r="A121" s="51" t="s">
        <v>68</v>
      </c>
      <c r="B121" s="52">
        <f t="shared" ref="B121:E122" si="1">C52</f>
        <v>0</v>
      </c>
      <c r="C121" s="52">
        <f t="shared" si="1"/>
        <v>4.2882759079160922E-4</v>
      </c>
      <c r="D121" s="52">
        <f t="shared" si="1"/>
        <v>0</v>
      </c>
      <c r="E121" s="52">
        <f t="shared" si="1"/>
        <v>1.1449284846758376E-2</v>
      </c>
    </row>
    <row r="122" spans="1:12" ht="15" customHeight="1">
      <c r="A122" s="51" t="s">
        <v>132</v>
      </c>
      <c r="B122" s="52">
        <f t="shared" si="1"/>
        <v>4.673741250846692E-2</v>
      </c>
      <c r="C122" s="52">
        <f t="shared" si="1"/>
        <v>4.8453002725657834E-2</v>
      </c>
      <c r="D122" s="52">
        <f t="shared" si="1"/>
        <v>3.3038175591011611E-2</v>
      </c>
      <c r="E122" s="52">
        <f t="shared" si="1"/>
        <v>5.3467726099874505E-2</v>
      </c>
    </row>
    <row r="123" spans="1:12" ht="15" customHeight="1"/>
    <row r="124" spans="1:12" ht="15" customHeight="1"/>
    <row r="125" spans="1:12" ht="15" customHeight="1"/>
    <row r="143" spans="1:5" ht="36.6" customHeight="1">
      <c r="A143" s="3" t="s">
        <v>57</v>
      </c>
      <c r="B143" s="3" t="s">
        <v>128</v>
      </c>
      <c r="C143" s="3" t="s">
        <v>129</v>
      </c>
      <c r="D143" s="3" t="s">
        <v>130</v>
      </c>
      <c r="E143" s="3" t="s">
        <v>131</v>
      </c>
    </row>
    <row r="144" spans="1:5" ht="15" customHeight="1">
      <c r="A144" s="51" t="s">
        <v>73</v>
      </c>
      <c r="B144" s="53">
        <f t="shared" ref="B144:E146" si="2">C58</f>
        <v>0.10476143918654675</v>
      </c>
      <c r="C144" s="53">
        <f t="shared" si="2"/>
        <v>0.11618978422920279</v>
      </c>
      <c r="D144" s="53">
        <f t="shared" si="2"/>
        <v>0.53281284729939993</v>
      </c>
      <c r="E144" s="53">
        <f t="shared" si="2"/>
        <v>0.19305876648692805</v>
      </c>
    </row>
    <row r="145" spans="1:5" ht="15" customHeight="1">
      <c r="A145" s="51" t="s">
        <v>133</v>
      </c>
      <c r="B145" s="53">
        <f t="shared" si="2"/>
        <v>0.14767598111842331</v>
      </c>
      <c r="C145" s="53">
        <f t="shared" si="2"/>
        <v>0.13330559294801242</v>
      </c>
      <c r="D145" s="53">
        <f t="shared" si="2"/>
        <v>0.57849170437405728</v>
      </c>
      <c r="E145" s="53">
        <f t="shared" si="2"/>
        <v>0.20609893209627583</v>
      </c>
    </row>
    <row r="146" spans="1:5" ht="15" customHeight="1">
      <c r="A146" s="51" t="s">
        <v>134</v>
      </c>
      <c r="B146" s="53">
        <f t="shared" si="2"/>
        <v>0.32251025245494563</v>
      </c>
      <c r="C146" s="53">
        <f t="shared" si="2"/>
        <v>0.20662056251043043</v>
      </c>
      <c r="D146" s="53">
        <f t="shared" si="2"/>
        <v>1.030218378146069</v>
      </c>
      <c r="E146" s="53">
        <f t="shared" si="2"/>
        <v>0.33024034816826131</v>
      </c>
    </row>
    <row r="149" spans="1:5" ht="16.5" customHeight="1"/>
    <row r="150" spans="1:5" ht="16.5" customHeight="1"/>
    <row r="151" spans="1:5" ht="14.25" customHeight="1"/>
    <row r="152" spans="1:5" ht="14.25" customHeight="1"/>
    <row r="153" spans="1:5" ht="14.25" customHeight="1"/>
    <row r="154" spans="1:5" ht="14.25" customHeight="1"/>
    <row r="155" spans="1:5" ht="14.25" customHeight="1"/>
    <row r="156" spans="1:5" ht="14.25" customHeight="1"/>
    <row r="157" spans="1:5" ht="14.25" customHeight="1"/>
    <row r="158" spans="1:5" ht="14.25" customHeight="1"/>
    <row r="160" spans="1:5" ht="16.5" customHeight="1"/>
    <row r="161" spans="1:12" ht="14.25" customHeight="1"/>
    <row r="162" spans="1:12" ht="14.25" customHeight="1"/>
    <row r="163" spans="1:12" ht="14.25" customHeight="1"/>
    <row r="164" spans="1:12" ht="14.25" customHeight="1"/>
    <row r="165" spans="1:12" ht="14.25" customHeight="1"/>
    <row r="166" spans="1:12" ht="14.25" customHeight="1"/>
    <row r="167" spans="1:12" ht="9" customHeight="1"/>
    <row r="168" spans="1:12" ht="26.85" customHeight="1">
      <c r="A168" s="56" t="s">
        <v>135</v>
      </c>
      <c r="B168" s="81"/>
      <c r="C168" s="81"/>
      <c r="D168" s="81"/>
      <c r="E168" s="81"/>
      <c r="F168" s="81"/>
      <c r="G168" s="81"/>
      <c r="H168" s="81"/>
      <c r="I168" s="81"/>
      <c r="J168" s="81"/>
      <c r="K168" s="81"/>
      <c r="L168" s="81"/>
    </row>
    <row r="169" spans="1:12" ht="24.4" customHeight="1">
      <c r="A169" s="56" t="s">
        <v>136</v>
      </c>
      <c r="B169" s="81"/>
      <c r="C169" s="81"/>
      <c r="D169" s="81"/>
      <c r="E169" s="81"/>
      <c r="F169" s="81"/>
      <c r="G169" s="81"/>
      <c r="H169" s="81"/>
      <c r="I169" s="81"/>
      <c r="J169" s="81"/>
      <c r="K169" s="81"/>
      <c r="L169" s="81"/>
    </row>
    <row r="170" spans="1:12" ht="36.6" customHeight="1">
      <c r="A170" s="55" t="s">
        <v>137</v>
      </c>
      <c r="B170" s="81"/>
      <c r="C170" s="81"/>
      <c r="D170" s="81"/>
      <c r="E170" s="81"/>
      <c r="F170" s="81"/>
      <c r="G170" s="81"/>
      <c r="H170" s="81"/>
      <c r="I170" s="81"/>
      <c r="J170" s="81"/>
      <c r="K170" s="81"/>
      <c r="L170" s="81"/>
    </row>
    <row r="171" spans="1:12" ht="67.150000000000006" customHeight="1">
      <c r="A171" s="55" t="s">
        <v>138</v>
      </c>
      <c r="B171" s="81"/>
      <c r="C171" s="81"/>
      <c r="D171" s="81"/>
      <c r="E171" s="81"/>
      <c r="F171" s="81"/>
      <c r="G171" s="81"/>
      <c r="H171" s="81"/>
      <c r="I171" s="81"/>
      <c r="J171" s="81"/>
      <c r="K171" s="81"/>
      <c r="L171" s="81"/>
    </row>
    <row r="172" spans="1:12" ht="51.95" customHeight="1">
      <c r="A172" s="55" t="s">
        <v>139</v>
      </c>
      <c r="B172" s="81"/>
      <c r="C172" s="81"/>
      <c r="D172" s="81"/>
      <c r="E172" s="81"/>
      <c r="F172" s="81"/>
      <c r="G172" s="81"/>
      <c r="H172" s="81"/>
      <c r="I172" s="81"/>
      <c r="J172" s="81"/>
      <c r="K172" s="81"/>
      <c r="L172" s="81"/>
    </row>
    <row r="173" spans="1:12" ht="51.95" customHeight="1">
      <c r="A173" s="55" t="s">
        <v>140</v>
      </c>
      <c r="B173" s="81"/>
      <c r="C173" s="81"/>
      <c r="D173" s="81"/>
      <c r="E173" s="81"/>
      <c r="F173" s="81"/>
      <c r="G173" s="81"/>
      <c r="H173" s="81"/>
      <c r="I173" s="81"/>
      <c r="J173" s="81"/>
      <c r="K173" s="81"/>
      <c r="L173" s="81"/>
    </row>
    <row r="174" spans="1:12" ht="36.6" customHeight="1">
      <c r="A174" s="55" t="s">
        <v>141</v>
      </c>
      <c r="B174" s="81"/>
      <c r="C174" s="81"/>
      <c r="D174" s="81"/>
      <c r="E174" s="81"/>
      <c r="F174" s="81"/>
      <c r="G174" s="81"/>
      <c r="H174" s="81"/>
      <c r="I174" s="81"/>
      <c r="J174" s="81"/>
      <c r="K174" s="81"/>
      <c r="L174" s="81"/>
    </row>
    <row r="175" spans="1:12" ht="9" customHeight="1"/>
    <row r="176" spans="1:12" ht="21.95" customHeight="1">
      <c r="A176" s="56" t="s">
        <v>142</v>
      </c>
      <c r="B176" s="81"/>
      <c r="C176" s="81"/>
      <c r="D176" s="81"/>
      <c r="E176" s="81"/>
      <c r="F176" s="81"/>
      <c r="G176" s="81"/>
      <c r="H176" s="81"/>
      <c r="I176" s="81"/>
      <c r="J176" s="81"/>
      <c r="K176" s="81"/>
      <c r="L176" s="81"/>
    </row>
    <row r="177" spans="1:12" ht="16.5" customHeight="1">
      <c r="A177" s="6" t="s">
        <v>143</v>
      </c>
    </row>
    <row r="178" spans="1:12" ht="8.4499999999999993" customHeight="1">
      <c r="A178" s="60" t="s">
        <v>191</v>
      </c>
      <c r="B178" s="85"/>
      <c r="C178" s="85"/>
      <c r="D178" s="85"/>
      <c r="E178" s="85"/>
      <c r="F178" s="85"/>
      <c r="G178" s="85"/>
      <c r="H178" s="85"/>
      <c r="I178" s="85"/>
      <c r="J178" s="85"/>
      <c r="K178" s="85"/>
      <c r="L178" s="85"/>
    </row>
    <row r="179" spans="1:12" ht="8.4499999999999993" customHeight="1">
      <c r="A179" s="86"/>
      <c r="B179" s="81"/>
      <c r="C179" s="81"/>
      <c r="D179" s="81"/>
      <c r="E179" s="81"/>
      <c r="F179" s="81"/>
      <c r="G179" s="81"/>
      <c r="H179" s="81"/>
      <c r="I179" s="81"/>
      <c r="J179" s="81"/>
      <c r="K179" s="81"/>
      <c r="L179" s="81"/>
    </row>
    <row r="180" spans="1:12" ht="8.4499999999999993" customHeight="1">
      <c r="A180" s="86"/>
      <c r="B180" s="81"/>
      <c r="C180" s="81"/>
      <c r="D180" s="81"/>
      <c r="E180" s="81"/>
      <c r="F180" s="81"/>
      <c r="G180" s="81"/>
      <c r="H180" s="81"/>
      <c r="I180" s="81"/>
      <c r="J180" s="81"/>
      <c r="K180" s="81"/>
      <c r="L180" s="81"/>
    </row>
    <row r="181" spans="1:12" ht="8.4499999999999993" customHeight="1">
      <c r="A181" s="86"/>
      <c r="B181" s="81"/>
      <c r="C181" s="81"/>
      <c r="D181" s="81"/>
      <c r="E181" s="81"/>
      <c r="F181" s="81"/>
      <c r="G181" s="81"/>
      <c r="H181" s="81"/>
      <c r="I181" s="81"/>
      <c r="J181" s="81"/>
      <c r="K181" s="81"/>
      <c r="L181" s="81"/>
    </row>
    <row r="182" spans="1:12" ht="8.4499999999999993" customHeight="1">
      <c r="A182" s="86"/>
      <c r="B182" s="81"/>
      <c r="C182" s="81"/>
      <c r="D182" s="81"/>
      <c r="E182" s="81"/>
      <c r="F182" s="81"/>
      <c r="G182" s="81"/>
      <c r="H182" s="81"/>
      <c r="I182" s="81"/>
      <c r="J182" s="81"/>
      <c r="K182" s="81"/>
      <c r="L182" s="81"/>
    </row>
    <row r="183" spans="1:12" ht="8.4499999999999993" customHeight="1">
      <c r="A183" s="86"/>
      <c r="B183" s="81"/>
      <c r="C183" s="81"/>
      <c r="D183" s="81"/>
      <c r="E183" s="81"/>
      <c r="F183" s="81"/>
      <c r="G183" s="81"/>
      <c r="H183" s="81"/>
      <c r="I183" s="81"/>
      <c r="J183" s="81"/>
      <c r="K183" s="81"/>
      <c r="L183" s="81"/>
    </row>
    <row r="184" spans="1:12" ht="8.4499999999999993" customHeight="1">
      <c r="A184" s="86"/>
      <c r="B184" s="81"/>
      <c r="C184" s="81"/>
      <c r="D184" s="81"/>
      <c r="E184" s="81"/>
      <c r="F184" s="81"/>
      <c r="G184" s="81"/>
      <c r="H184" s="81"/>
      <c r="I184" s="81"/>
      <c r="J184" s="81"/>
      <c r="K184" s="81"/>
      <c r="L184" s="81"/>
    </row>
    <row r="185" spans="1:12" ht="8.4499999999999993" customHeight="1">
      <c r="A185" s="86"/>
      <c r="B185" s="81"/>
      <c r="C185" s="81"/>
      <c r="D185" s="81"/>
      <c r="E185" s="81"/>
      <c r="F185" s="81"/>
      <c r="G185" s="81"/>
      <c r="H185" s="81"/>
      <c r="I185" s="81"/>
      <c r="J185" s="81"/>
      <c r="K185" s="81"/>
      <c r="L185" s="81"/>
    </row>
    <row r="186" spans="1:12" ht="8.4499999999999993" customHeight="1">
      <c r="A186" s="86"/>
      <c r="B186" s="81"/>
      <c r="C186" s="81"/>
      <c r="D186" s="81"/>
      <c r="E186" s="81"/>
      <c r="F186" s="81"/>
      <c r="G186" s="81"/>
      <c r="H186" s="81"/>
      <c r="I186" s="81"/>
      <c r="J186" s="81"/>
      <c r="K186" s="81"/>
      <c r="L186" s="81"/>
    </row>
    <row r="187" spans="1:12" ht="8.4499999999999993" customHeight="1">
      <c r="A187" s="86"/>
      <c r="B187" s="81"/>
      <c r="C187" s="81"/>
      <c r="D187" s="81"/>
      <c r="E187" s="81"/>
      <c r="F187" s="81"/>
      <c r="G187" s="81"/>
      <c r="H187" s="81"/>
      <c r="I187" s="81"/>
      <c r="J187" s="81"/>
      <c r="K187" s="81"/>
      <c r="L187" s="81"/>
    </row>
    <row r="188" spans="1:12" ht="8.4499999999999993" customHeight="1">
      <c r="A188" s="86"/>
      <c r="B188" s="81"/>
      <c r="C188" s="81"/>
      <c r="D188" s="81"/>
      <c r="E188" s="81"/>
      <c r="F188" s="81"/>
      <c r="G188" s="81"/>
      <c r="H188" s="81"/>
      <c r="I188" s="81"/>
      <c r="J188" s="81"/>
      <c r="K188" s="81"/>
      <c r="L188" s="81"/>
    </row>
    <row r="189" spans="1:12" ht="14.25" customHeight="1"/>
    <row r="190" spans="1:12" ht="16.5" customHeight="1">
      <c r="A190" s="6" t="s">
        <v>145</v>
      </c>
    </row>
    <row r="191" spans="1:12" ht="8.85" customHeight="1">
      <c r="A191" s="60" t="s">
        <v>192</v>
      </c>
      <c r="B191" s="85"/>
      <c r="C191" s="85"/>
      <c r="D191" s="85"/>
      <c r="E191" s="85"/>
      <c r="F191" s="85"/>
      <c r="G191" s="85"/>
      <c r="H191" s="85"/>
      <c r="I191" s="85"/>
      <c r="J191" s="85"/>
      <c r="K191" s="85"/>
      <c r="L191" s="85"/>
    </row>
    <row r="192" spans="1:12" ht="8.85" customHeight="1">
      <c r="A192" s="86"/>
      <c r="B192" s="81"/>
      <c r="C192" s="81"/>
      <c r="D192" s="81"/>
      <c r="E192" s="81"/>
      <c r="F192" s="81"/>
      <c r="G192" s="81"/>
      <c r="H192" s="81"/>
      <c r="I192" s="81"/>
      <c r="J192" s="81"/>
      <c r="K192" s="81"/>
      <c r="L192" s="81"/>
    </row>
    <row r="193" spans="1:12" ht="8.85" customHeight="1">
      <c r="A193" s="86"/>
      <c r="B193" s="81"/>
      <c r="C193" s="81"/>
      <c r="D193" s="81"/>
      <c r="E193" s="81"/>
      <c r="F193" s="81"/>
      <c r="G193" s="81"/>
      <c r="H193" s="81"/>
      <c r="I193" s="81"/>
      <c r="J193" s="81"/>
      <c r="K193" s="81"/>
      <c r="L193" s="81"/>
    </row>
    <row r="194" spans="1:12" ht="8.85" customHeight="1">
      <c r="A194" s="86"/>
      <c r="B194" s="81"/>
      <c r="C194" s="81"/>
      <c r="D194" s="81"/>
      <c r="E194" s="81"/>
      <c r="F194" s="81"/>
      <c r="G194" s="81"/>
      <c r="H194" s="81"/>
      <c r="I194" s="81"/>
      <c r="J194" s="81"/>
      <c r="K194" s="81"/>
      <c r="L194" s="81"/>
    </row>
    <row r="195" spans="1:12" ht="8.85" customHeight="1">
      <c r="A195" s="86"/>
      <c r="B195" s="81"/>
      <c r="C195" s="81"/>
      <c r="D195" s="81"/>
      <c r="E195" s="81"/>
      <c r="F195" s="81"/>
      <c r="G195" s="81"/>
      <c r="H195" s="81"/>
      <c r="I195" s="81"/>
      <c r="J195" s="81"/>
      <c r="K195" s="81"/>
      <c r="L195" s="81"/>
    </row>
    <row r="196" spans="1:12" ht="8.85" customHeight="1">
      <c r="A196" s="86"/>
      <c r="B196" s="81"/>
      <c r="C196" s="81"/>
      <c r="D196" s="81"/>
      <c r="E196" s="81"/>
      <c r="F196" s="81"/>
      <c r="G196" s="81"/>
      <c r="H196" s="81"/>
      <c r="I196" s="81"/>
      <c r="J196" s="81"/>
      <c r="K196" s="81"/>
      <c r="L196" s="81"/>
    </row>
    <row r="197" spans="1:12" ht="8.85" customHeight="1">
      <c r="A197" s="86"/>
      <c r="B197" s="81"/>
      <c r="C197" s="81"/>
      <c r="D197" s="81"/>
      <c r="E197" s="81"/>
      <c r="F197" s="81"/>
      <c r="G197" s="81"/>
      <c r="H197" s="81"/>
      <c r="I197" s="81"/>
      <c r="J197" s="81"/>
      <c r="K197" s="81"/>
      <c r="L197" s="81"/>
    </row>
    <row r="198" spans="1:12" ht="8.85" customHeight="1">
      <c r="A198" s="86"/>
      <c r="B198" s="81"/>
      <c r="C198" s="81"/>
      <c r="D198" s="81"/>
      <c r="E198" s="81"/>
      <c r="F198" s="81"/>
      <c r="G198" s="81"/>
      <c r="H198" s="81"/>
      <c r="I198" s="81"/>
      <c r="J198" s="81"/>
      <c r="K198" s="81"/>
      <c r="L198" s="81"/>
    </row>
    <row r="199" spans="1:12" ht="8.85" customHeight="1">
      <c r="A199" s="86"/>
      <c r="B199" s="81"/>
      <c r="C199" s="81"/>
      <c r="D199" s="81"/>
      <c r="E199" s="81"/>
      <c r="F199" s="81"/>
      <c r="G199" s="81"/>
      <c r="H199" s="81"/>
      <c r="I199" s="81"/>
      <c r="J199" s="81"/>
      <c r="K199" s="81"/>
      <c r="L199" s="81"/>
    </row>
    <row r="200" spans="1:12" ht="8.85" customHeight="1">
      <c r="A200" s="86"/>
      <c r="B200" s="81"/>
      <c r="C200" s="81"/>
      <c r="D200" s="81"/>
      <c r="E200" s="81"/>
      <c r="F200" s="81"/>
      <c r="G200" s="81"/>
      <c r="H200" s="81"/>
      <c r="I200" s="81"/>
      <c r="J200" s="81"/>
      <c r="K200" s="81"/>
      <c r="L200" s="81"/>
    </row>
    <row r="201" spans="1:12" ht="8.85" customHeight="1">
      <c r="A201" s="86"/>
      <c r="B201" s="81"/>
      <c r="C201" s="81"/>
      <c r="D201" s="81"/>
      <c r="E201" s="81"/>
      <c r="F201" s="81"/>
      <c r="G201" s="81"/>
      <c r="H201" s="81"/>
      <c r="I201" s="81"/>
      <c r="J201" s="81"/>
      <c r="K201" s="81"/>
      <c r="L201" s="81"/>
    </row>
    <row r="202" spans="1:12" ht="8.85" customHeight="1">
      <c r="A202" s="86"/>
      <c r="B202" s="81"/>
      <c r="C202" s="81"/>
      <c r="D202" s="81"/>
      <c r="E202" s="81"/>
      <c r="F202" s="81"/>
      <c r="G202" s="81"/>
      <c r="H202" s="81"/>
      <c r="I202" s="81"/>
      <c r="J202" s="81"/>
      <c r="K202" s="81"/>
      <c r="L202" s="81"/>
    </row>
    <row r="203" spans="1:12" ht="12" customHeight="1"/>
    <row r="204" spans="1:12" ht="16.5" customHeight="1">
      <c r="A204" s="6" t="s">
        <v>147</v>
      </c>
    </row>
    <row r="205" spans="1:12" ht="8.4499999999999993" customHeight="1">
      <c r="A205" s="60" t="s">
        <v>193</v>
      </c>
      <c r="B205" s="85"/>
      <c r="C205" s="85"/>
      <c r="D205" s="85"/>
      <c r="E205" s="85"/>
      <c r="F205" s="85"/>
      <c r="G205" s="85"/>
      <c r="H205" s="85"/>
      <c r="I205" s="85"/>
      <c r="J205" s="85"/>
      <c r="K205" s="85"/>
      <c r="L205" s="85"/>
    </row>
    <row r="206" spans="1:12" ht="8.4499999999999993" customHeight="1">
      <c r="A206" s="86"/>
      <c r="B206" s="81"/>
      <c r="C206" s="81"/>
      <c r="D206" s="81"/>
      <c r="E206" s="81"/>
      <c r="F206" s="81"/>
      <c r="G206" s="81"/>
      <c r="H206" s="81"/>
      <c r="I206" s="81"/>
      <c r="J206" s="81"/>
      <c r="K206" s="81"/>
      <c r="L206" s="81"/>
    </row>
    <row r="207" spans="1:12" ht="8.4499999999999993" customHeight="1">
      <c r="A207" s="86"/>
      <c r="B207" s="81"/>
      <c r="C207" s="81"/>
      <c r="D207" s="81"/>
      <c r="E207" s="81"/>
      <c r="F207" s="81"/>
      <c r="G207" s="81"/>
      <c r="H207" s="81"/>
      <c r="I207" s="81"/>
      <c r="J207" s="81"/>
      <c r="K207" s="81"/>
      <c r="L207" s="81"/>
    </row>
    <row r="208" spans="1:12" ht="8.4499999999999993" customHeight="1">
      <c r="A208" s="86"/>
      <c r="B208" s="81"/>
      <c r="C208" s="81"/>
      <c r="D208" s="81"/>
      <c r="E208" s="81"/>
      <c r="F208" s="81"/>
      <c r="G208" s="81"/>
      <c r="H208" s="81"/>
      <c r="I208" s="81"/>
      <c r="J208" s="81"/>
      <c r="K208" s="81"/>
      <c r="L208" s="81"/>
    </row>
    <row r="209" spans="1:12" ht="8.4499999999999993" customHeight="1">
      <c r="A209" s="86"/>
      <c r="B209" s="81"/>
      <c r="C209" s="81"/>
      <c r="D209" s="81"/>
      <c r="E209" s="81"/>
      <c r="F209" s="81"/>
      <c r="G209" s="81"/>
      <c r="H209" s="81"/>
      <c r="I209" s="81"/>
      <c r="J209" s="81"/>
      <c r="K209" s="81"/>
      <c r="L209" s="81"/>
    </row>
    <row r="210" spans="1:12" ht="8.4499999999999993" customHeight="1">
      <c r="A210" s="86"/>
      <c r="B210" s="81"/>
      <c r="C210" s="81"/>
      <c r="D210" s="81"/>
      <c r="E210" s="81"/>
      <c r="F210" s="81"/>
      <c r="G210" s="81"/>
      <c r="H210" s="81"/>
      <c r="I210" s="81"/>
      <c r="J210" s="81"/>
      <c r="K210" s="81"/>
      <c r="L210" s="81"/>
    </row>
    <row r="211" spans="1:12" ht="8.4499999999999993" customHeight="1">
      <c r="A211" s="86"/>
      <c r="B211" s="81"/>
      <c r="C211" s="81"/>
      <c r="D211" s="81"/>
      <c r="E211" s="81"/>
      <c r="F211" s="81"/>
      <c r="G211" s="81"/>
      <c r="H211" s="81"/>
      <c r="I211" s="81"/>
      <c r="J211" s="81"/>
      <c r="K211" s="81"/>
      <c r="L211" s="81"/>
    </row>
    <row r="212" spans="1:12" ht="8.4499999999999993" customHeight="1">
      <c r="A212" s="86"/>
      <c r="B212" s="81"/>
      <c r="C212" s="81"/>
      <c r="D212" s="81"/>
      <c r="E212" s="81"/>
      <c r="F212" s="81"/>
      <c r="G212" s="81"/>
      <c r="H212" s="81"/>
      <c r="I212" s="81"/>
      <c r="J212" s="81"/>
      <c r="K212" s="81"/>
      <c r="L212" s="81"/>
    </row>
    <row r="213" spans="1:12" ht="8.4499999999999993" customHeight="1">
      <c r="A213" s="86"/>
      <c r="B213" s="81"/>
      <c r="C213" s="81"/>
      <c r="D213" s="81"/>
      <c r="E213" s="81"/>
      <c r="F213" s="81"/>
      <c r="G213" s="81"/>
      <c r="H213" s="81"/>
      <c r="I213" s="81"/>
      <c r="J213" s="81"/>
      <c r="K213" s="81"/>
      <c r="L213" s="81"/>
    </row>
    <row r="214" spans="1:12" ht="8.4499999999999993" customHeight="1">
      <c r="A214" s="86"/>
      <c r="B214" s="81"/>
      <c r="C214" s="81"/>
      <c r="D214" s="81"/>
      <c r="E214" s="81"/>
      <c r="F214" s="81"/>
      <c r="G214" s="81"/>
      <c r="H214" s="81"/>
      <c r="I214" s="81"/>
      <c r="J214" s="81"/>
      <c r="K214" s="81"/>
      <c r="L214" s="81"/>
    </row>
    <row r="215" spans="1:12" ht="1.5" customHeight="1">
      <c r="A215" s="86"/>
      <c r="B215" s="81"/>
      <c r="C215" s="81"/>
      <c r="D215" s="81"/>
      <c r="E215" s="81"/>
      <c r="F215" s="81"/>
      <c r="G215" s="81"/>
      <c r="H215" s="81"/>
      <c r="I215" s="81"/>
      <c r="J215" s="81"/>
      <c r="K215" s="81"/>
      <c r="L215" s="81"/>
    </row>
    <row r="217" spans="1:12" ht="16.5" customHeight="1">
      <c r="A217" s="6" t="s">
        <v>149</v>
      </c>
    </row>
    <row r="218" spans="1:12" ht="8.1" customHeight="1">
      <c r="A218" s="60" t="s">
        <v>194</v>
      </c>
      <c r="B218" s="85"/>
      <c r="C218" s="85"/>
      <c r="D218" s="85"/>
      <c r="E218" s="85"/>
      <c r="F218" s="85"/>
      <c r="G218" s="85"/>
      <c r="H218" s="85"/>
      <c r="I218" s="85"/>
      <c r="J218" s="85"/>
      <c r="K218" s="85"/>
      <c r="L218" s="85"/>
    </row>
    <row r="219" spans="1:12" ht="8.1" customHeight="1">
      <c r="A219" s="86"/>
      <c r="B219" s="81"/>
      <c r="C219" s="81"/>
      <c r="D219" s="81"/>
      <c r="E219" s="81"/>
      <c r="F219" s="81"/>
      <c r="G219" s="81"/>
      <c r="H219" s="81"/>
      <c r="I219" s="81"/>
      <c r="J219" s="81"/>
      <c r="K219" s="81"/>
      <c r="L219" s="81"/>
    </row>
    <row r="220" spans="1:12" ht="8.1" customHeight="1">
      <c r="A220" s="86"/>
      <c r="B220" s="81"/>
      <c r="C220" s="81"/>
      <c r="D220" s="81"/>
      <c r="E220" s="81"/>
      <c r="F220" s="81"/>
      <c r="G220" s="81"/>
      <c r="H220" s="81"/>
      <c r="I220" s="81"/>
      <c r="J220" s="81"/>
      <c r="K220" s="81"/>
      <c r="L220" s="81"/>
    </row>
    <row r="221" spans="1:12" ht="8.1" customHeight="1">
      <c r="A221" s="86"/>
      <c r="B221" s="81"/>
      <c r="C221" s="81"/>
      <c r="D221" s="81"/>
      <c r="E221" s="81"/>
      <c r="F221" s="81"/>
      <c r="G221" s="81"/>
      <c r="H221" s="81"/>
      <c r="I221" s="81"/>
      <c r="J221" s="81"/>
      <c r="K221" s="81"/>
      <c r="L221" s="81"/>
    </row>
    <row r="222" spans="1:12" ht="8.1" customHeight="1">
      <c r="A222" s="86"/>
      <c r="B222" s="81"/>
      <c r="C222" s="81"/>
      <c r="D222" s="81"/>
      <c r="E222" s="81"/>
      <c r="F222" s="81"/>
      <c r="G222" s="81"/>
      <c r="H222" s="81"/>
      <c r="I222" s="81"/>
      <c r="J222" s="81"/>
      <c r="K222" s="81"/>
      <c r="L222" s="81"/>
    </row>
    <row r="223" spans="1:12" ht="8.1" customHeight="1">
      <c r="A223" s="86"/>
      <c r="B223" s="81"/>
      <c r="C223" s="81"/>
      <c r="D223" s="81"/>
      <c r="E223" s="81"/>
      <c r="F223" s="81"/>
      <c r="G223" s="81"/>
      <c r="H223" s="81"/>
      <c r="I223" s="81"/>
      <c r="J223" s="81"/>
      <c r="K223" s="81"/>
      <c r="L223" s="81"/>
    </row>
    <row r="224" spans="1:12" ht="8.1" customHeight="1">
      <c r="A224" s="86"/>
      <c r="B224" s="81"/>
      <c r="C224" s="81"/>
      <c r="D224" s="81"/>
      <c r="E224" s="81"/>
      <c r="F224" s="81"/>
      <c r="G224" s="81"/>
      <c r="H224" s="81"/>
      <c r="I224" s="81"/>
      <c r="J224" s="81"/>
      <c r="K224" s="81"/>
      <c r="L224" s="81"/>
    </row>
    <row r="225" spans="1:12" ht="8.1" customHeight="1">
      <c r="A225" s="86"/>
      <c r="B225" s="81"/>
      <c r="C225" s="81"/>
      <c r="D225" s="81"/>
      <c r="E225" s="81"/>
      <c r="F225" s="81"/>
      <c r="G225" s="81"/>
      <c r="H225" s="81"/>
      <c r="I225" s="81"/>
      <c r="J225" s="81"/>
      <c r="K225" s="81"/>
      <c r="L225" s="81"/>
    </row>
    <row r="226" spans="1:12" ht="1.5" customHeight="1">
      <c r="A226" s="86"/>
      <c r="B226" s="81"/>
      <c r="C226" s="81"/>
      <c r="D226" s="81"/>
      <c r="E226" s="81"/>
      <c r="F226" s="81"/>
      <c r="G226" s="81"/>
      <c r="H226" s="81"/>
      <c r="I226" s="81"/>
      <c r="J226" s="81"/>
      <c r="K226" s="81"/>
      <c r="L226" s="81"/>
    </row>
    <row r="227" spans="1:12" ht="8.1" hidden="1" customHeight="1">
      <c r="A227" s="86"/>
      <c r="B227" s="81"/>
      <c r="C227" s="81"/>
      <c r="D227" s="81"/>
      <c r="E227" s="81"/>
      <c r="F227" s="81"/>
      <c r="G227" s="81"/>
      <c r="H227" s="81"/>
      <c r="I227" s="81"/>
      <c r="J227" s="81"/>
      <c r="K227" s="81"/>
      <c r="L227" s="81"/>
    </row>
    <row r="230" spans="1:12" ht="9.1999999999999993" customHeight="1">
      <c r="A230" s="55" t="s">
        <v>195</v>
      </c>
      <c r="B230" s="81"/>
      <c r="C230" s="81"/>
      <c r="D230" s="81"/>
      <c r="E230" s="81"/>
      <c r="F230" s="81"/>
      <c r="G230" s="81"/>
      <c r="H230" s="81"/>
      <c r="I230" s="81"/>
      <c r="J230" s="81"/>
      <c r="K230" s="81"/>
      <c r="L230" s="81"/>
    </row>
    <row r="231" spans="1:12" ht="9.1999999999999993" customHeight="1">
      <c r="A231" s="81"/>
      <c r="B231" s="81"/>
      <c r="C231" s="81"/>
      <c r="D231" s="81"/>
      <c r="E231" s="81"/>
      <c r="F231" s="81"/>
      <c r="G231" s="81"/>
      <c r="H231" s="81"/>
      <c r="I231" s="81"/>
      <c r="J231" s="81"/>
      <c r="K231" s="81"/>
      <c r="L231" s="81"/>
    </row>
    <row r="232" spans="1:12" ht="9.1999999999999993" customHeight="1">
      <c r="A232" s="81"/>
      <c r="B232" s="81"/>
      <c r="C232" s="81"/>
      <c r="D232" s="81"/>
      <c r="E232" s="81"/>
      <c r="F232" s="81"/>
      <c r="G232" s="81"/>
      <c r="H232" s="81"/>
      <c r="I232" s="81"/>
      <c r="J232" s="81"/>
      <c r="K232" s="81"/>
      <c r="L232" s="81"/>
    </row>
    <row r="233" spans="1:12" ht="9.1999999999999993" customHeight="1">
      <c r="A233" s="81"/>
      <c r="B233" s="81"/>
      <c r="C233" s="81"/>
      <c r="D233" s="81"/>
      <c r="E233" s="81"/>
      <c r="F233" s="81"/>
      <c r="G233" s="81"/>
      <c r="H233" s="81"/>
      <c r="I233" s="81"/>
      <c r="J233" s="81"/>
      <c r="K233" s="81"/>
      <c r="L233" s="81"/>
    </row>
    <row r="234" spans="1:12" ht="9.1999999999999993" customHeight="1">
      <c r="A234" s="81"/>
      <c r="B234" s="81"/>
      <c r="C234" s="81"/>
      <c r="D234" s="81"/>
      <c r="E234" s="81"/>
      <c r="F234" s="81"/>
      <c r="G234" s="81"/>
      <c r="H234" s="81"/>
      <c r="I234" s="81"/>
      <c r="J234" s="81"/>
      <c r="K234" s="81"/>
      <c r="L234" s="81"/>
    </row>
    <row r="235" spans="1:12" ht="9.1999999999999993" customHeight="1">
      <c r="A235" s="81"/>
      <c r="B235" s="81"/>
      <c r="C235" s="81"/>
      <c r="D235" s="81"/>
      <c r="E235" s="81"/>
      <c r="F235" s="81"/>
      <c r="G235" s="81"/>
      <c r="H235" s="81"/>
      <c r="I235" s="81"/>
      <c r="J235" s="81"/>
      <c r="K235" s="81"/>
      <c r="L235" s="81"/>
    </row>
    <row r="236" spans="1:12" ht="9.1999999999999993" customHeight="1">
      <c r="A236" s="81"/>
      <c r="B236" s="81"/>
      <c r="C236" s="81"/>
      <c r="D236" s="81"/>
      <c r="E236" s="81"/>
      <c r="F236" s="81"/>
      <c r="G236" s="81"/>
      <c r="H236" s="81"/>
      <c r="I236" s="81"/>
      <c r="J236" s="81"/>
      <c r="K236" s="81"/>
      <c r="L236" s="81"/>
    </row>
    <row r="237" spans="1:12" ht="9.1999999999999993" customHeight="1">
      <c r="A237" s="81"/>
      <c r="B237" s="81"/>
      <c r="C237" s="81"/>
      <c r="D237" s="81"/>
      <c r="E237" s="81"/>
      <c r="F237" s="81"/>
      <c r="G237" s="81"/>
      <c r="H237" s="81"/>
      <c r="I237" s="81"/>
      <c r="J237" s="81"/>
      <c r="K237" s="81"/>
      <c r="L237" s="81"/>
    </row>
    <row r="238" spans="1:12" ht="9.1999999999999993" customHeight="1">
      <c r="A238" s="81"/>
      <c r="B238" s="81"/>
      <c r="C238" s="81"/>
      <c r="D238" s="81"/>
      <c r="E238" s="81"/>
      <c r="F238" s="81"/>
      <c r="G238" s="81"/>
      <c r="H238" s="81"/>
      <c r="I238" s="81"/>
      <c r="J238" s="81"/>
      <c r="K238" s="81"/>
      <c r="L238" s="81"/>
    </row>
    <row r="239" spans="1:12" ht="9.1999999999999993" customHeight="1">
      <c r="A239" s="81"/>
      <c r="B239" s="81"/>
      <c r="C239" s="81"/>
      <c r="D239" s="81"/>
      <c r="E239" s="81"/>
      <c r="F239" s="81"/>
      <c r="G239" s="81"/>
      <c r="H239" s="81"/>
      <c r="I239" s="81"/>
      <c r="J239" s="81"/>
      <c r="K239" s="81"/>
      <c r="L239" s="81"/>
    </row>
    <row r="240" spans="1:12" ht="9.1999999999999993" customHeight="1">
      <c r="A240" s="81"/>
      <c r="B240" s="81"/>
      <c r="C240" s="81"/>
      <c r="D240" s="81"/>
      <c r="E240" s="81"/>
      <c r="F240" s="81"/>
      <c r="G240" s="81"/>
      <c r="H240" s="81"/>
      <c r="I240" s="81"/>
      <c r="J240" s="81"/>
      <c r="K240" s="81"/>
      <c r="L240" s="81"/>
    </row>
    <row r="241" spans="1:12" ht="9.1999999999999993" customHeight="1">
      <c r="A241" s="81"/>
      <c r="B241" s="81"/>
      <c r="C241" s="81"/>
      <c r="D241" s="81"/>
      <c r="E241" s="81"/>
      <c r="F241" s="81"/>
      <c r="G241" s="81"/>
      <c r="H241" s="81"/>
      <c r="I241" s="81"/>
      <c r="J241" s="81"/>
      <c r="K241" s="81"/>
      <c r="L241" s="81"/>
    </row>
    <row r="242" spans="1:12" ht="9.1999999999999993" customHeight="1">
      <c r="A242" s="81"/>
      <c r="B242" s="81"/>
      <c r="C242" s="81"/>
      <c r="D242" s="81"/>
      <c r="E242" s="81"/>
      <c r="F242" s="81"/>
      <c r="G242" s="81"/>
      <c r="H242" s="81"/>
      <c r="I242" s="81"/>
      <c r="J242" s="81"/>
      <c r="K242" s="81"/>
      <c r="L242" s="81"/>
    </row>
    <row r="243" spans="1:12" ht="9.1999999999999993" customHeight="1">
      <c r="A243" s="81"/>
      <c r="B243" s="81"/>
      <c r="C243" s="81"/>
      <c r="D243" s="81"/>
      <c r="E243" s="81"/>
      <c r="F243" s="81"/>
      <c r="G243" s="81"/>
      <c r="H243" s="81"/>
      <c r="I243" s="81"/>
      <c r="J243" s="81"/>
      <c r="K243" s="81"/>
      <c r="L243" s="81"/>
    </row>
    <row r="244" spans="1:12" ht="9.1999999999999993" customHeight="1">
      <c r="A244" s="81"/>
      <c r="B244" s="81"/>
      <c r="C244" s="81"/>
      <c r="D244" s="81"/>
      <c r="E244" s="81"/>
      <c r="F244" s="81"/>
      <c r="G244" s="81"/>
      <c r="H244" s="81"/>
      <c r="I244" s="81"/>
      <c r="J244" s="81"/>
      <c r="K244" s="81"/>
      <c r="L244" s="81"/>
    </row>
    <row r="245" spans="1:12" ht="9.1999999999999993" customHeight="1">
      <c r="A245" s="81"/>
      <c r="B245" s="81"/>
      <c r="C245" s="81"/>
      <c r="D245" s="81"/>
      <c r="E245" s="81"/>
      <c r="F245" s="81"/>
      <c r="G245" s="81"/>
      <c r="H245" s="81"/>
      <c r="I245" s="81"/>
      <c r="J245" s="81"/>
      <c r="K245" s="81"/>
      <c r="L245" s="81"/>
    </row>
    <row r="246" spans="1:12" ht="9.1999999999999993" customHeight="1">
      <c r="A246" s="81"/>
      <c r="B246" s="81"/>
      <c r="C246" s="81"/>
      <c r="D246" s="81"/>
      <c r="E246" s="81"/>
      <c r="F246" s="81"/>
      <c r="G246" s="81"/>
      <c r="H246" s="81"/>
      <c r="I246" s="81"/>
      <c r="J246" s="81"/>
      <c r="K246" s="81"/>
      <c r="L246" s="81"/>
    </row>
    <row r="247" spans="1:12" ht="9.1999999999999993" customHeight="1">
      <c r="A247" s="81"/>
      <c r="B247" s="81"/>
      <c r="C247" s="81"/>
      <c r="D247" s="81"/>
      <c r="E247" s="81"/>
      <c r="F247" s="81"/>
      <c r="G247" s="81"/>
      <c r="H247" s="81"/>
      <c r="I247" s="81"/>
      <c r="J247" s="81"/>
      <c r="K247" s="81"/>
      <c r="L247" s="81"/>
    </row>
    <row r="248" spans="1:12" ht="9.1999999999999993" customHeight="1">
      <c r="A248" s="81"/>
      <c r="B248" s="81"/>
      <c r="C248" s="81"/>
      <c r="D248" s="81"/>
      <c r="E248" s="81"/>
      <c r="F248" s="81"/>
      <c r="G248" s="81"/>
      <c r="H248" s="81"/>
      <c r="I248" s="81"/>
      <c r="J248" s="81"/>
      <c r="K248" s="81"/>
      <c r="L248" s="81"/>
    </row>
    <row r="249" spans="1:12" ht="9.1999999999999993" customHeight="1">
      <c r="A249" s="81"/>
      <c r="B249" s="81"/>
      <c r="C249" s="81"/>
      <c r="D249" s="81"/>
      <c r="E249" s="81"/>
      <c r="F249" s="81"/>
      <c r="G249" s="81"/>
      <c r="H249" s="81"/>
      <c r="I249" s="81"/>
      <c r="J249" s="81"/>
      <c r="K249" s="81"/>
      <c r="L249" s="81"/>
    </row>
    <row r="250" spans="1:12" ht="9.1999999999999993" customHeight="1">
      <c r="A250" s="81"/>
      <c r="B250" s="81"/>
      <c r="C250" s="81"/>
      <c r="D250" s="81"/>
      <c r="E250" s="81"/>
      <c r="F250" s="81"/>
      <c r="G250" s="81"/>
      <c r="H250" s="81"/>
      <c r="I250" s="81"/>
      <c r="J250" s="81"/>
      <c r="K250" s="81"/>
      <c r="L250" s="81"/>
    </row>
    <row r="251" spans="1:12" ht="9.1999999999999993" customHeight="1">
      <c r="A251" s="81"/>
      <c r="B251" s="81"/>
      <c r="C251" s="81"/>
      <c r="D251" s="81"/>
      <c r="E251" s="81"/>
      <c r="F251" s="81"/>
      <c r="G251" s="81"/>
      <c r="H251" s="81"/>
      <c r="I251" s="81"/>
      <c r="J251" s="81"/>
      <c r="K251" s="81"/>
      <c r="L251" s="81"/>
    </row>
    <row r="252" spans="1:12" ht="9.1999999999999993" customHeight="1">
      <c r="A252" s="81"/>
      <c r="B252" s="81"/>
      <c r="C252" s="81"/>
      <c r="D252" s="81"/>
      <c r="E252" s="81"/>
      <c r="F252" s="81"/>
      <c r="G252" s="81"/>
      <c r="H252" s="81"/>
      <c r="I252" s="81"/>
      <c r="J252" s="81"/>
      <c r="K252" s="81"/>
      <c r="L252" s="81"/>
    </row>
    <row r="253" spans="1:12" ht="9" customHeight="1">
      <c r="A253" s="81"/>
      <c r="B253" s="81"/>
      <c r="C253" s="81"/>
      <c r="D253" s="81"/>
      <c r="E253" s="81"/>
      <c r="F253" s="81"/>
      <c r="G253" s="81"/>
      <c r="H253" s="81"/>
      <c r="I253" s="81"/>
      <c r="J253" s="81"/>
      <c r="K253" s="81"/>
      <c r="L253" s="81"/>
    </row>
    <row r="254" spans="1:12" ht="3" customHeight="1">
      <c r="A254" s="81"/>
      <c r="B254" s="81"/>
      <c r="C254" s="81"/>
      <c r="D254" s="81"/>
      <c r="E254" s="81"/>
      <c r="F254" s="81"/>
      <c r="G254" s="81"/>
      <c r="H254" s="81"/>
      <c r="I254" s="81"/>
      <c r="J254" s="81"/>
      <c r="K254" s="81"/>
      <c r="L254" s="81"/>
    </row>
    <row r="255" spans="1:12" ht="9" hidden="1" customHeight="1">
      <c r="A255" s="81"/>
      <c r="B255" s="81"/>
      <c r="C255" s="81"/>
      <c r="D255" s="81"/>
      <c r="E255" s="81"/>
      <c r="F255" s="81"/>
      <c r="G255" s="81"/>
      <c r="H255" s="81"/>
      <c r="I255" s="81"/>
      <c r="J255" s="81"/>
      <c r="K255" s="81"/>
      <c r="L255" s="81"/>
    </row>
    <row r="256" spans="1:12" ht="9" hidden="1" customHeight="1">
      <c r="A256" s="81"/>
      <c r="B256" s="81"/>
      <c r="C256" s="81"/>
      <c r="D256" s="81"/>
      <c r="E256" s="81"/>
      <c r="F256" s="81"/>
      <c r="G256" s="81"/>
      <c r="H256" s="81"/>
      <c r="I256" s="81"/>
      <c r="J256" s="81"/>
      <c r="K256" s="81"/>
      <c r="L256" s="81"/>
    </row>
    <row r="257" spans="1:12" ht="9" hidden="1" customHeight="1">
      <c r="A257" s="81"/>
      <c r="B257" s="81"/>
      <c r="C257" s="81"/>
      <c r="D257" s="81"/>
      <c r="E257" s="81"/>
      <c r="F257" s="81"/>
      <c r="G257" s="81"/>
      <c r="H257" s="81"/>
      <c r="I257" s="81"/>
      <c r="J257" s="81"/>
      <c r="K257" s="81"/>
      <c r="L257" s="81"/>
    </row>
    <row r="258" spans="1:12" ht="9" customHeight="1"/>
    <row r="259" spans="1:12" ht="21.95" customHeight="1">
      <c r="A259" s="56" t="s">
        <v>152</v>
      </c>
      <c r="B259" s="81"/>
      <c r="C259" s="81"/>
      <c r="D259" s="81"/>
      <c r="E259" s="81"/>
      <c r="F259" s="81"/>
      <c r="G259" s="81"/>
      <c r="H259" s="81"/>
      <c r="I259" s="81"/>
      <c r="J259" s="81"/>
      <c r="K259" s="81"/>
      <c r="L259" s="81"/>
    </row>
    <row r="260" spans="1:12" ht="68.25" customHeight="1">
      <c r="A260" s="61" t="s">
        <v>196</v>
      </c>
      <c r="B260" s="81"/>
      <c r="C260" s="81"/>
      <c r="D260" s="81"/>
      <c r="E260" s="81"/>
      <c r="F260" s="81"/>
      <c r="G260" s="81"/>
      <c r="H260" s="81"/>
      <c r="I260" s="81"/>
      <c r="J260" s="81"/>
      <c r="K260" s="81"/>
      <c r="L260" s="81"/>
    </row>
    <row r="262" spans="1:12" ht="83.1" customHeight="1">
      <c r="A262" s="55" t="s">
        <v>197</v>
      </c>
      <c r="B262" s="81"/>
      <c r="C262" s="81"/>
      <c r="D262" s="81"/>
      <c r="E262" s="81"/>
      <c r="F262" s="81"/>
      <c r="G262" s="81"/>
      <c r="H262" s="81"/>
      <c r="I262" s="81"/>
      <c r="J262" s="81"/>
      <c r="K262" s="81"/>
      <c r="L262" s="81"/>
    </row>
    <row r="263" spans="1:12" ht="9" customHeight="1"/>
    <row r="264" spans="1:12" ht="21.95" customHeight="1">
      <c r="A264" s="56" t="s">
        <v>155</v>
      </c>
      <c r="B264" s="81"/>
      <c r="C264" s="81"/>
      <c r="D264" s="81"/>
      <c r="E264" s="81"/>
      <c r="F264" s="81"/>
      <c r="G264" s="81"/>
      <c r="H264" s="81"/>
      <c r="I264" s="81"/>
      <c r="J264" s="81"/>
      <c r="K264" s="81"/>
      <c r="L264" s="81"/>
    </row>
    <row r="265" spans="1:12" ht="73.5" customHeight="1">
      <c r="A265" s="61" t="s">
        <v>198</v>
      </c>
      <c r="B265" s="81"/>
      <c r="C265" s="81"/>
      <c r="D265" s="81"/>
      <c r="E265" s="81"/>
      <c r="F265" s="81"/>
      <c r="G265" s="81"/>
      <c r="H265" s="81"/>
      <c r="I265" s="81"/>
      <c r="J265" s="81"/>
      <c r="K265" s="81"/>
      <c r="L265" s="81"/>
    </row>
    <row r="266" spans="1:12" ht="9" customHeight="1"/>
    <row r="267" spans="1:12" ht="41.45" customHeight="1">
      <c r="A267" s="59" t="s">
        <v>157</v>
      </c>
      <c r="B267" s="81"/>
      <c r="C267" s="81"/>
      <c r="D267" s="81"/>
      <c r="E267" s="81"/>
      <c r="F267" s="81"/>
      <c r="G267" s="81"/>
      <c r="H267" s="81"/>
      <c r="I267" s="81"/>
      <c r="J267" s="81"/>
      <c r="K267" s="81"/>
      <c r="L267" s="81"/>
    </row>
    <row r="268" spans="1:12" ht="36.6" customHeight="1">
      <c r="A268" s="2" t="s">
        <v>199</v>
      </c>
      <c r="C268" s="4" t="s">
        <v>28</v>
      </c>
      <c r="D268" s="4" t="s">
        <v>29</v>
      </c>
      <c r="E268" s="4" t="s">
        <v>159</v>
      </c>
    </row>
    <row r="269" spans="1:12">
      <c r="A269" s="2" t="s">
        <v>61</v>
      </c>
      <c r="C269" s="11">
        <f>'Industry Summary'!N18/'Industry Summary'!N22</f>
        <v>1.3793959453868432</v>
      </c>
      <c r="D269" s="11">
        <f>'Industry Summary'!P18/'Industry Summary'!P22</f>
        <v>1.5167063387110995</v>
      </c>
      <c r="E269" s="11">
        <f>ABS(C269-C45)+ABS(D269-E45)</f>
        <v>0</v>
      </c>
    </row>
    <row r="270" spans="1:12">
      <c r="A270" s="2" t="s">
        <v>63</v>
      </c>
      <c r="C270" s="11">
        <f>('Industry Summary'!N18-'Industry Summary'!N13)/'Industry Summary'!N22</f>
        <v>0.96241897669286991</v>
      </c>
      <c r="D270" s="11">
        <f>('Industry Summary'!P18-'Industry Summary'!P13)/'Industry Summary'!P22</f>
        <v>1.0132240148108969</v>
      </c>
      <c r="E270" s="11">
        <f>ABS(C270-C46)+ABS(D270-E46)</f>
        <v>0</v>
      </c>
    </row>
    <row r="271" spans="1:12">
      <c r="A271" s="2" t="s">
        <v>65</v>
      </c>
      <c r="C271" s="11">
        <f>('Industry Summary'!N15+'Industry Summary'!N16)/'Industry Summary'!N22</f>
        <v>0.20652323817404494</v>
      </c>
      <c r="D271" s="11">
        <f>('Industry Summary'!P15+'Industry Summary'!P16)/'Industry Summary'!P22</f>
        <v>0.22657145376002821</v>
      </c>
      <c r="E271" s="11">
        <f>ABS(C271-C47)+ABS(D271-E47)</f>
        <v>0</v>
      </c>
    </row>
    <row r="272" spans="1:12">
      <c r="A272" s="2" t="s">
        <v>73</v>
      </c>
      <c r="C272" s="12">
        <f>'Industry Summary'!N30/'Industry Summary'!N26</f>
        <v>0.10476143918654675</v>
      </c>
      <c r="D272" s="12">
        <f>'Industry Summary'!P30/'Industry Summary'!P26</f>
        <v>0.53281284729939993</v>
      </c>
      <c r="E272" s="12">
        <f>ABS(C272-C58)+ABS(D272-E58)</f>
        <v>0</v>
      </c>
    </row>
    <row r="273" spans="1:12">
      <c r="A273" s="2" t="s">
        <v>75</v>
      </c>
      <c r="C273" s="12">
        <f>'Industry Summary'!N30/AVERAGE('Industry Summary'!N39,'Industry Summary'!N25)</f>
        <v>0.14767598111842331</v>
      </c>
      <c r="D273" s="12">
        <f>'Industry Summary'!P30/AVERAGE('Industry Summary'!N25,'Industry Summary'!P25)</f>
        <v>0.57849170437405728</v>
      </c>
      <c r="E273" s="12">
        <f>ABS(C273-C59)+ABS(D273-E59)</f>
        <v>0</v>
      </c>
    </row>
    <row r="274" spans="1:12">
      <c r="A274" s="2" t="s">
        <v>77</v>
      </c>
      <c r="C274" s="12">
        <f>'Industry Summary'!N30/AVERAGE('Industry Summary'!N38,'Industry Summary'!N24)</f>
        <v>0.32251025245494563</v>
      </c>
      <c r="D274" s="12">
        <f>'Industry Summary'!P30/AVERAGE('Industry Summary'!N24,'Industry Summary'!P24)</f>
        <v>1.030218378146069</v>
      </c>
      <c r="E274" s="12">
        <f>ABS(C274-C60)+ABS(D274-E60)</f>
        <v>0</v>
      </c>
    </row>
    <row r="275" spans="1:12">
      <c r="A275" s="2" t="s">
        <v>68</v>
      </c>
      <c r="C275" s="11">
        <f>'Industry Summary'!N23/'Industry Summary'!N24</f>
        <v>0</v>
      </c>
      <c r="D275" s="11">
        <f>'Industry Summary'!P23/'Industry Summary'!P24</f>
        <v>0</v>
      </c>
      <c r="E275" s="11">
        <f>ABS(C275-C52)+ABS(D275-E52)</f>
        <v>0</v>
      </c>
    </row>
    <row r="276" spans="1:12">
      <c r="A276" s="2" t="s">
        <v>70</v>
      </c>
      <c r="C276" s="11">
        <f>('Industry Summary'!N23+'Industry Summary'!N33)/'Industry Summary'!N24</f>
        <v>4.673741250846692E-2</v>
      </c>
      <c r="D276" s="11">
        <f>('Industry Summary'!P23+'Industry Summary'!P33)/'Industry Summary'!P24</f>
        <v>3.3038175591011611E-2</v>
      </c>
      <c r="E276" s="11">
        <f>ABS(C276-C53)+ABS(D276-E53)</f>
        <v>0</v>
      </c>
    </row>
    <row r="277" spans="1:12">
      <c r="A277" s="2" t="s">
        <v>80</v>
      </c>
      <c r="C277" s="11">
        <f>'Industry Summary'!N27/AVERAGE('Industry Summary'!N37,'Industry Summary'!N13)</f>
        <v>3.5561585265581317</v>
      </c>
      <c r="D277" s="11">
        <f>'Industry Summary'!P27/AVERAGE('Industry Summary'!N13,'Industry Summary'!P13)</f>
        <v>3.1777513182514028</v>
      </c>
      <c r="E277" s="11">
        <f>ABS(C277-C65)+ABS(D277-E65)</f>
        <v>0</v>
      </c>
    </row>
    <row r="278" spans="1:12">
      <c r="A278" s="10" t="s">
        <v>101</v>
      </c>
      <c r="C278" s="11">
        <f>'Industry Summary'!N26/AVERAGE('Industry Summary'!N39,'Industry Summary'!N25)</f>
        <v>1.409640629845295</v>
      </c>
      <c r="D278" s="11">
        <f>'Industry Summary'!P26/AVERAGE('Industry Summary'!N25,'Industry Summary'!P25)</f>
        <v>1.0857315233785823</v>
      </c>
      <c r="E278" s="11">
        <f>ABS(C278-C95)+ABS(D278-E95)</f>
        <v>0</v>
      </c>
    </row>
    <row r="279" spans="1:12">
      <c r="A279" s="10" t="s">
        <v>103</v>
      </c>
      <c r="C279" s="11">
        <f>AVERAGE('Industry Summary'!N39,'Industry Summary'!N25)/AVERAGE('Industry Summary'!N38,'Industry Summary'!N24)</f>
        <v>2.1839045863275519</v>
      </c>
      <c r="D279" s="11">
        <f>AVERAGE('Industry Summary'!N25,'Industry Summary'!P25)/AVERAGE('Industry Summary'!N24,'Industry Summary'!P24)</f>
        <v>1.7808697520749954</v>
      </c>
      <c r="E279" s="11">
        <f>ABS(C279-C96)+ABS(D279-E96)</f>
        <v>0</v>
      </c>
    </row>
    <row r="280" spans="1:12">
      <c r="A280" s="2" t="s">
        <v>93</v>
      </c>
      <c r="C280" s="12">
        <f>('Industry Summary'!N26-'Industry Summary'!N40)/'Industry Summary'!N40</f>
        <v>3.2714054927302075E-2</v>
      </c>
      <c r="D280" s="12">
        <f>('Industry Summary'!P26-'Industry Summary'!N26)/'Industry Summary'!N26</f>
        <v>-0.12025811497849043</v>
      </c>
      <c r="E280" s="12">
        <f>ABS(C280-C86)+ABS(D280-E86)</f>
        <v>0</v>
      </c>
    </row>
    <row r="281" spans="1:12">
      <c r="A281" s="2" t="s">
        <v>95</v>
      </c>
      <c r="C281" s="12">
        <f>('Industry Summary'!N26-('Industry Summary'!N34-'Industry Summary'!N35))/'Industry Summary'!N26</f>
        <v>0.13489929605005868</v>
      </c>
      <c r="D281" s="12">
        <f>('Industry Summary'!P26-('Industry Summary'!P34-'Industry Summary'!P35))/'Industry Summary'!P26</f>
        <v>0.12008224049788838</v>
      </c>
      <c r="E281" s="12">
        <f>ABS(C281-C87)+ABS(D281-E87)</f>
        <v>0</v>
      </c>
    </row>
    <row r="282" spans="1:12">
      <c r="A282" s="10" t="s">
        <v>160</v>
      </c>
      <c r="C282" s="12">
        <f>'Industry Summary'!N30/'Industry Summary'!N28</f>
        <v>0.75232578550114093</v>
      </c>
      <c r="D282" s="12">
        <f>'Industry Summary'!P30/'Industry Summary'!P28</f>
        <v>0.83389137713614825</v>
      </c>
      <c r="E282" s="12">
        <f>ABS(C282-C106)+ABS(D282-E106)</f>
        <v>0</v>
      </c>
    </row>
    <row r="283" spans="1:12">
      <c r="A283" s="10" t="s">
        <v>161</v>
      </c>
      <c r="C283" s="12">
        <f>'Industry Summary'!N28/('Industry Summary'!N28+'Industry Summary'!N35)</f>
        <v>0.98308886971527187</v>
      </c>
      <c r="D283" s="12">
        <f>'Industry Summary'!P28/('Industry Summary'!P28+'Industry Summary'!P35)</f>
        <v>0.99476598321654131</v>
      </c>
      <c r="E283" s="12">
        <f>ABS(C283-C107)+ABS(D283-E107)</f>
        <v>0</v>
      </c>
    </row>
    <row r="284" spans="1:12">
      <c r="A284" s="10" t="s">
        <v>162</v>
      </c>
      <c r="C284" s="12">
        <f>('Industry Summary'!N28+'Industry Summary'!N35)/'Industry Summary'!N26</f>
        <v>0.14164548298787644</v>
      </c>
      <c r="D284" s="12">
        <f>('Industry Summary'!P28+'Industry Summary'!P35)/'Industry Summary'!P26</f>
        <v>0.64230940208935317</v>
      </c>
      <c r="E284" s="12">
        <f>ABS(C284-C108)+ABS(D284-E108)</f>
        <v>0</v>
      </c>
    </row>
    <row r="286" spans="1:12" ht="37.700000000000003" customHeight="1">
      <c r="A286" s="55" t="s">
        <v>163</v>
      </c>
      <c r="B286" s="81"/>
      <c r="C286" s="81"/>
      <c r="D286" s="81"/>
      <c r="E286" s="81"/>
      <c r="F286" s="81"/>
      <c r="G286" s="81"/>
      <c r="H286" s="81"/>
      <c r="I286" s="81"/>
      <c r="J286" s="81"/>
      <c r="K286" s="81"/>
      <c r="L286" s="81"/>
    </row>
  </sheetData>
  <mergeCells count="61">
    <mergeCell ref="A286:L286"/>
    <mergeCell ref="A75:L75"/>
    <mergeCell ref="A89:L89"/>
    <mergeCell ref="A264:L264"/>
    <mergeCell ref="E92:F92"/>
    <mergeCell ref="A267:L267"/>
    <mergeCell ref="A101:L101"/>
    <mergeCell ref="A259:L259"/>
    <mergeCell ref="A205:L215"/>
    <mergeCell ref="A262:L262"/>
    <mergeCell ref="A171:L171"/>
    <mergeCell ref="A265:L265"/>
    <mergeCell ref="A170:L170"/>
    <mergeCell ref="C76:D76"/>
    <mergeCell ref="A260:L260"/>
    <mergeCell ref="A218:L227"/>
    <mergeCell ref="A230:L257"/>
    <mergeCell ref="A116:L116"/>
    <mergeCell ref="E63:F63"/>
    <mergeCell ref="A32:L32"/>
    <mergeCell ref="C50:D50"/>
    <mergeCell ref="C84:D84"/>
    <mergeCell ref="E84:F84"/>
    <mergeCell ref="C56:D56"/>
    <mergeCell ref="A178:L188"/>
    <mergeCell ref="A100:L100"/>
    <mergeCell ref="A81:L81"/>
    <mergeCell ref="E43:F43"/>
    <mergeCell ref="E50:F50"/>
    <mergeCell ref="A172:L172"/>
    <mergeCell ref="C92:D92"/>
    <mergeCell ref="A174:L174"/>
    <mergeCell ref="A191:L202"/>
    <mergeCell ref="A98:L98"/>
    <mergeCell ref="A49:L49"/>
    <mergeCell ref="A169:L169"/>
    <mergeCell ref="A31:L31"/>
    <mergeCell ref="A40:L40"/>
    <mergeCell ref="A173:L173"/>
    <mergeCell ref="A67:L67"/>
    <mergeCell ref="A176:L176"/>
    <mergeCell ref="A114:L114"/>
    <mergeCell ref="A39:L39"/>
    <mergeCell ref="A82:L82"/>
    <mergeCell ref="A42:L42"/>
    <mergeCell ref="A71:L71"/>
    <mergeCell ref="C63:D63"/>
    <mergeCell ref="A90:L90"/>
    <mergeCell ref="A1:L1"/>
    <mergeCell ref="A103:L103"/>
    <mergeCell ref="A168:L168"/>
    <mergeCell ref="A6:L6"/>
    <mergeCell ref="A70:L70"/>
    <mergeCell ref="E56:F56"/>
    <mergeCell ref="C7:D7"/>
    <mergeCell ref="A2:L2"/>
    <mergeCell ref="A4:L4"/>
    <mergeCell ref="A55:L55"/>
    <mergeCell ref="C43:D43"/>
    <mergeCell ref="A62:L62"/>
    <mergeCell ref="A68:L68"/>
  </mergeCells>
  <pageMargins left="0.4" right="0.4" top="0.5" bottom="0.5" header="0.25" footer="0.25"/>
  <pageSetup paperSize="9" fitToHeight="0" orientation="landscape" horizontalDpi="300" verticalDpi="300"/>
  <headerFooter>
    <oddHeader>&amp;L&amp;"Times New Roman,Bold"&amp;9 FAA Major Project - Indian Paints Industry&amp;R&amp;"Times New Roman,Regular"&amp;9 &amp;A</oddHeader>
    <oddFooter>&amp;L&amp;"Times New Roman,Regular"&amp;8 Standalone, ₹ Crore&amp;C&amp;"Times New Roman,Regular"&amp;8 Page &amp;P of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86"/>
  <sheetViews>
    <sheetView topLeftCell="A199" zoomScale="85" zoomScaleNormal="85" workbookViewId="0">
      <selection activeCell="H155" sqref="H155"/>
    </sheetView>
  </sheetViews>
  <sheetFormatPr defaultColWidth="8.5703125" defaultRowHeight="14.1"/>
  <cols>
    <col min="1" max="1" width="46" style="1" customWidth="1"/>
    <col min="2" max="2" width="15" style="1" customWidth="1"/>
    <col min="3" max="11" width="13.42578125" style="1" customWidth="1"/>
    <col min="12" max="12" width="10" style="1" customWidth="1"/>
    <col min="13" max="16" width="8.7109375" style="1" customWidth="1"/>
    <col min="17" max="17" width="8.5703125" style="1" customWidth="1"/>
    <col min="18" max="16384" width="8.5703125" style="1"/>
  </cols>
  <sheetData>
    <row r="1" spans="1:12" ht="34.15" customHeight="1">
      <c r="A1" s="54" t="s">
        <v>200</v>
      </c>
      <c r="B1" s="81"/>
      <c r="C1" s="81"/>
      <c r="D1" s="81"/>
      <c r="E1" s="81"/>
      <c r="F1" s="81"/>
      <c r="G1" s="81"/>
      <c r="H1" s="81"/>
      <c r="I1" s="81"/>
      <c r="J1" s="81"/>
      <c r="K1" s="81"/>
      <c r="L1" s="81"/>
    </row>
    <row r="2" spans="1:12" ht="21.95" customHeight="1">
      <c r="A2" s="58" t="s">
        <v>23</v>
      </c>
      <c r="B2" s="81"/>
      <c r="C2" s="81"/>
      <c r="D2" s="81"/>
      <c r="E2" s="81"/>
      <c r="F2" s="81"/>
      <c r="G2" s="81"/>
      <c r="H2" s="81"/>
      <c r="I2" s="81"/>
      <c r="J2" s="81"/>
      <c r="K2" s="81"/>
      <c r="L2" s="81"/>
    </row>
    <row r="3" spans="1:12" ht="8.1" customHeight="1"/>
    <row r="4" spans="1:12" ht="26.85" customHeight="1">
      <c r="A4" s="59" t="s">
        <v>24</v>
      </c>
      <c r="B4" s="81"/>
      <c r="C4" s="81"/>
      <c r="D4" s="81"/>
      <c r="E4" s="81"/>
      <c r="F4" s="81"/>
      <c r="G4" s="81"/>
      <c r="H4" s="81"/>
      <c r="I4" s="81"/>
      <c r="J4" s="81"/>
      <c r="K4" s="81"/>
      <c r="L4" s="81"/>
    </row>
    <row r="5" spans="1:12" ht="9" customHeight="1"/>
    <row r="6" spans="1:12" ht="26.85" customHeight="1">
      <c r="A6" s="56" t="s">
        <v>25</v>
      </c>
      <c r="B6" s="81"/>
      <c r="C6" s="81"/>
      <c r="D6" s="81"/>
      <c r="E6" s="81"/>
      <c r="F6" s="81"/>
      <c r="G6" s="81"/>
      <c r="H6" s="81"/>
      <c r="I6" s="81"/>
      <c r="J6" s="81"/>
      <c r="K6" s="81"/>
      <c r="L6" s="81"/>
    </row>
    <row r="7" spans="1:12" ht="21.95" customHeight="1">
      <c r="A7" s="2" t="s">
        <v>26</v>
      </c>
      <c r="C7" s="57" t="s">
        <v>201</v>
      </c>
      <c r="D7" s="84"/>
    </row>
    <row r="8" spans="1:12" ht="15.75" customHeight="1">
      <c r="C8" s="4" t="s">
        <v>28</v>
      </c>
      <c r="D8" s="4" t="s">
        <v>29</v>
      </c>
    </row>
    <row r="9" spans="1:12" ht="15.75" customHeight="1">
      <c r="A9" s="13" t="s">
        <v>30</v>
      </c>
      <c r="C9" s="7">
        <v>149.13</v>
      </c>
      <c r="D9" s="7">
        <v>173.07</v>
      </c>
    </row>
    <row r="10" spans="1:12" ht="15.75" customHeight="1">
      <c r="A10" s="13" t="s">
        <v>31</v>
      </c>
      <c r="C10" s="7">
        <v>219.92</v>
      </c>
      <c r="D10" s="7">
        <v>257.29000000000002</v>
      </c>
    </row>
    <row r="11" spans="1:12" ht="15.75" customHeight="1">
      <c r="A11" s="13" t="s">
        <v>32</v>
      </c>
      <c r="C11" s="7">
        <v>37.090000000000003</v>
      </c>
      <c r="D11" s="7">
        <v>28.54</v>
      </c>
    </row>
    <row r="12" spans="1:12" ht="15.75" customHeight="1">
      <c r="A12" s="13" t="s">
        <v>33</v>
      </c>
      <c r="C12" s="7">
        <v>0.01</v>
      </c>
      <c r="D12" s="7">
        <v>0.01</v>
      </c>
    </row>
    <row r="13" spans="1:12" ht="29.25" customHeight="1">
      <c r="A13" s="13" t="s">
        <v>34</v>
      </c>
      <c r="C13" s="7">
        <v>240.14</v>
      </c>
      <c r="D13" s="7">
        <v>304.26</v>
      </c>
    </row>
    <row r="14" spans="1:12" ht="15.75" customHeight="1">
      <c r="A14" s="8" t="s">
        <v>35</v>
      </c>
      <c r="C14" s="9">
        <v>646.29</v>
      </c>
      <c r="D14" s="9">
        <v>763.17</v>
      </c>
    </row>
    <row r="15" spans="1:12" ht="15.75" customHeight="1">
      <c r="A15" s="13" t="s">
        <v>36</v>
      </c>
      <c r="C15" s="7">
        <v>165.29</v>
      </c>
      <c r="D15" s="7">
        <v>199.44</v>
      </c>
    </row>
    <row r="16" spans="1:12" ht="15.75" customHeight="1">
      <c r="A16" s="13" t="s">
        <v>37</v>
      </c>
      <c r="C16" s="7">
        <v>0</v>
      </c>
      <c r="D16" s="7">
        <v>0</v>
      </c>
    </row>
    <row r="17" spans="1:12" ht="29.25" customHeight="1">
      <c r="A17" s="13" t="s">
        <v>38</v>
      </c>
      <c r="C17" s="7">
        <v>104.19</v>
      </c>
      <c r="D17" s="7">
        <v>143.47999999999999</v>
      </c>
    </row>
    <row r="18" spans="1:12" ht="15.75" customHeight="1">
      <c r="A18" s="8" t="s">
        <v>39</v>
      </c>
      <c r="C18" s="9">
        <v>269.48</v>
      </c>
      <c r="D18" s="9">
        <v>342.92</v>
      </c>
    </row>
    <row r="19" spans="1:12" ht="29.25" customHeight="1">
      <c r="A19" s="13" t="s">
        <v>40</v>
      </c>
      <c r="C19" s="7">
        <v>0</v>
      </c>
      <c r="D19" s="7">
        <v>0</v>
      </c>
    </row>
    <row r="20" spans="1:12" ht="15.75" customHeight="1">
      <c r="A20" s="13" t="s">
        <v>41</v>
      </c>
      <c r="C20" s="7">
        <v>1048.1400000000001</v>
      </c>
      <c r="D20" s="7">
        <v>1182.3499999999999</v>
      </c>
    </row>
    <row r="21" spans="1:12" ht="15.75" customHeight="1">
      <c r="A21" s="8" t="s">
        <v>42</v>
      </c>
      <c r="C21" s="9">
        <v>1357.77</v>
      </c>
      <c r="D21" s="9">
        <v>1569.93</v>
      </c>
    </row>
    <row r="22" spans="1:12" ht="15.75" customHeight="1">
      <c r="A22" s="13" t="s">
        <v>43</v>
      </c>
      <c r="C22" s="7">
        <v>1277.19</v>
      </c>
      <c r="D22" s="7">
        <v>1330.12</v>
      </c>
    </row>
    <row r="23" spans="1:12" ht="15.75" customHeight="1">
      <c r="A23" s="13" t="s">
        <v>44</v>
      </c>
      <c r="C23" s="7">
        <v>648.64</v>
      </c>
      <c r="D23" s="7">
        <v>662.2</v>
      </c>
    </row>
    <row r="24" spans="1:12" ht="15.75" customHeight="1">
      <c r="A24" s="13" t="s">
        <v>45</v>
      </c>
      <c r="C24" s="7">
        <v>192.23</v>
      </c>
      <c r="D24" s="7">
        <v>195.27</v>
      </c>
    </row>
    <row r="25" spans="1:12" ht="15.75" customHeight="1">
      <c r="A25" s="13" t="s">
        <v>46</v>
      </c>
      <c r="C25" s="7">
        <v>48.29</v>
      </c>
      <c r="D25" s="7">
        <v>49.88</v>
      </c>
    </row>
    <row r="26" spans="1:12" ht="15.75" customHeight="1">
      <c r="A26" s="8" t="s">
        <v>47</v>
      </c>
      <c r="C26" s="9">
        <v>143.94</v>
      </c>
      <c r="D26" s="9">
        <v>145.38999999999999</v>
      </c>
    </row>
    <row r="27" spans="1:12" ht="29.25" customHeight="1">
      <c r="A27" s="13" t="s">
        <v>48</v>
      </c>
      <c r="C27" s="7">
        <v>0</v>
      </c>
      <c r="D27" s="7">
        <v>-5.85</v>
      </c>
    </row>
    <row r="28" spans="1:12" ht="15.75" customHeight="1">
      <c r="A28" s="8" t="s">
        <v>49</v>
      </c>
      <c r="C28" s="9">
        <v>192.23</v>
      </c>
      <c r="D28" s="9">
        <v>201.12</v>
      </c>
    </row>
    <row r="29" spans="1:12" ht="29.25" customHeight="1">
      <c r="A29" s="13" t="s">
        <v>50</v>
      </c>
      <c r="C29" s="7">
        <v>19.7</v>
      </c>
      <c r="D29" s="7">
        <v>18.38</v>
      </c>
    </row>
    <row r="31" spans="1:12" ht="21.95" customHeight="1">
      <c r="A31" s="56" t="s">
        <v>51</v>
      </c>
      <c r="B31" s="81"/>
      <c r="C31" s="81"/>
      <c r="D31" s="81"/>
      <c r="E31" s="81"/>
      <c r="F31" s="81"/>
      <c r="G31" s="81"/>
      <c r="H31" s="81"/>
      <c r="I31" s="81"/>
      <c r="J31" s="81"/>
      <c r="K31" s="81"/>
      <c r="L31" s="81"/>
    </row>
    <row r="32" spans="1:12" ht="37.700000000000003" customHeight="1">
      <c r="A32" s="55" t="s">
        <v>52</v>
      </c>
      <c r="B32" s="81"/>
      <c r="C32" s="81"/>
      <c r="D32" s="81"/>
      <c r="E32" s="81"/>
      <c r="F32" s="81"/>
      <c r="G32" s="81"/>
      <c r="H32" s="81"/>
      <c r="I32" s="81"/>
      <c r="J32" s="81"/>
      <c r="K32" s="81"/>
      <c r="L32" s="81"/>
    </row>
    <row r="34" spans="1:12" ht="15.75" customHeight="1">
      <c r="A34" s="2" t="s">
        <v>53</v>
      </c>
      <c r="C34" s="4" t="s">
        <v>201</v>
      </c>
    </row>
    <row r="35" spans="1:12" ht="15.75" customHeight="1">
      <c r="A35" s="10" t="s">
        <v>30</v>
      </c>
      <c r="C35" s="7">
        <v>166.2</v>
      </c>
    </row>
    <row r="36" spans="1:12" ht="15.75" customHeight="1">
      <c r="A36" s="10" t="s">
        <v>41</v>
      </c>
      <c r="C36" s="7">
        <v>915.07</v>
      </c>
    </row>
    <row r="37" spans="1:12" ht="15.75" customHeight="1">
      <c r="A37" s="10" t="s">
        <v>42</v>
      </c>
      <c r="C37" s="7">
        <v>1221.95</v>
      </c>
    </row>
    <row r="38" spans="1:12" ht="9" customHeight="1"/>
    <row r="39" spans="1:12" ht="21.95" customHeight="1">
      <c r="A39" s="56" t="s">
        <v>54</v>
      </c>
      <c r="B39" s="81"/>
      <c r="C39" s="81"/>
      <c r="D39" s="81"/>
      <c r="E39" s="81"/>
      <c r="F39" s="81"/>
      <c r="G39" s="81"/>
      <c r="H39" s="81"/>
      <c r="I39" s="81"/>
      <c r="J39" s="81"/>
      <c r="K39" s="81"/>
      <c r="L39" s="81"/>
    </row>
    <row r="40" spans="1:12" ht="50.45" customHeight="1">
      <c r="A40" s="55" t="s">
        <v>55</v>
      </c>
      <c r="B40" s="81"/>
      <c r="C40" s="81"/>
      <c r="D40" s="81"/>
      <c r="E40" s="81"/>
      <c r="F40" s="81"/>
      <c r="G40" s="81"/>
      <c r="H40" s="81"/>
      <c r="I40" s="81"/>
      <c r="J40" s="81"/>
      <c r="K40" s="81"/>
      <c r="L40" s="81"/>
    </row>
    <row r="41" spans="1:12" ht="9" customHeight="1"/>
    <row r="42" spans="1:12" ht="26.85" customHeight="1">
      <c r="A42" s="56" t="s">
        <v>56</v>
      </c>
      <c r="B42" s="81"/>
      <c r="C42" s="81"/>
      <c r="D42" s="81"/>
      <c r="E42" s="81"/>
      <c r="F42" s="81"/>
      <c r="G42" s="81"/>
      <c r="H42" s="81"/>
      <c r="I42" s="81"/>
      <c r="J42" s="81"/>
      <c r="K42" s="81"/>
      <c r="L42" s="81"/>
    </row>
    <row r="43" spans="1:12" ht="15.75" customHeight="1">
      <c r="C43" s="57" t="s">
        <v>28</v>
      </c>
      <c r="D43" s="84"/>
      <c r="E43" s="57" t="s">
        <v>29</v>
      </c>
      <c r="F43" s="84"/>
    </row>
    <row r="44" spans="1:12" ht="21.95" customHeight="1">
      <c r="A44" s="5" t="s">
        <v>57</v>
      </c>
      <c r="B44" s="5" t="s">
        <v>58</v>
      </c>
      <c r="C44" s="5" t="s">
        <v>59</v>
      </c>
      <c r="D44" s="5" t="s">
        <v>60</v>
      </c>
      <c r="E44" s="5" t="s">
        <v>59</v>
      </c>
      <c r="F44" s="5" t="s">
        <v>60</v>
      </c>
    </row>
    <row r="45" spans="1:12" ht="41.1" customHeight="1">
      <c r="A45" s="2" t="s">
        <v>61</v>
      </c>
      <c r="B45" s="50" t="s">
        <v>62</v>
      </c>
      <c r="C45" s="11">
        <f>C14/C18</f>
        <v>2.3982855870565531</v>
      </c>
      <c r="D45" s="11">
        <f>'Industry Summary'!L48</f>
        <v>2.4353778229716396</v>
      </c>
      <c r="E45" s="11">
        <f>D14/D18</f>
        <v>2.225504490843345</v>
      </c>
      <c r="F45" s="11">
        <f>'Industry Summary'!L60</f>
        <v>2.4275972449136276</v>
      </c>
    </row>
    <row r="46" spans="1:12" ht="41.1" customHeight="1">
      <c r="A46" s="2" t="s">
        <v>63</v>
      </c>
      <c r="B46" s="50" t="s">
        <v>64</v>
      </c>
      <c r="C46" s="11">
        <f>(C14-C9)/C18</f>
        <v>1.8448864479738754</v>
      </c>
      <c r="D46" s="11">
        <f>'Industry Summary'!L49</f>
        <v>1.5808142416651734</v>
      </c>
      <c r="E46" s="11">
        <f>(D14-D9)/D18</f>
        <v>1.7208095182549863</v>
      </c>
      <c r="F46" s="11">
        <f>'Industry Summary'!L61</f>
        <v>1.6811361655827657</v>
      </c>
    </row>
    <row r="47" spans="1:12" ht="48" customHeight="1">
      <c r="A47" s="2" t="s">
        <v>65</v>
      </c>
      <c r="B47" s="50" t="s">
        <v>66</v>
      </c>
      <c r="C47" s="11">
        <f>(C11+C12)/C18</f>
        <v>0.13767255454950275</v>
      </c>
      <c r="D47" s="11">
        <f>'Industry Summary'!L50</f>
        <v>0.15262563733347595</v>
      </c>
      <c r="E47" s="11">
        <f>(D11+D12)/D18</f>
        <v>8.32555698122011E-2</v>
      </c>
      <c r="F47" s="11">
        <f>'Industry Summary'!L62</f>
        <v>0.11967228575278641</v>
      </c>
    </row>
    <row r="48" spans="1:12" ht="9" customHeight="1"/>
    <row r="49" spans="1:12" ht="26.85" customHeight="1">
      <c r="A49" s="56" t="s">
        <v>67</v>
      </c>
      <c r="B49" s="81"/>
      <c r="C49" s="81"/>
      <c r="D49" s="81"/>
      <c r="E49" s="81"/>
      <c r="F49" s="81"/>
      <c r="G49" s="81"/>
      <c r="H49" s="81"/>
      <c r="I49" s="81"/>
      <c r="J49" s="81"/>
      <c r="K49" s="81"/>
      <c r="L49" s="81"/>
    </row>
    <row r="50" spans="1:12" ht="15.75" customHeight="1">
      <c r="C50" s="57" t="s">
        <v>28</v>
      </c>
      <c r="D50" s="84"/>
      <c r="E50" s="57" t="s">
        <v>29</v>
      </c>
      <c r="F50" s="84"/>
    </row>
    <row r="51" spans="1:12" ht="21.95" customHeight="1">
      <c r="A51" s="5" t="s">
        <v>57</v>
      </c>
      <c r="B51" s="5" t="s">
        <v>58</v>
      </c>
      <c r="C51" s="5" t="s">
        <v>59</v>
      </c>
      <c r="D51" s="5" t="s">
        <v>60</v>
      </c>
      <c r="E51" s="5" t="s">
        <v>59</v>
      </c>
      <c r="F51" s="5" t="s">
        <v>60</v>
      </c>
    </row>
    <row r="52" spans="1:12" ht="41.1" customHeight="1">
      <c r="A52" s="2" t="s">
        <v>68</v>
      </c>
      <c r="B52" s="50" t="s">
        <v>69</v>
      </c>
      <c r="C52" s="11">
        <f>C19/C20</f>
        <v>0</v>
      </c>
      <c r="D52" s="11">
        <f>'Industry Summary'!L54</f>
        <v>4.2882759079160922E-4</v>
      </c>
      <c r="E52" s="11">
        <f>D19/D20</f>
        <v>0</v>
      </c>
      <c r="F52" s="11">
        <f>'Industry Summary'!L66</f>
        <v>1.1449284846758376E-2</v>
      </c>
    </row>
    <row r="53" spans="1:12" ht="48" customHeight="1">
      <c r="A53" s="2" t="s">
        <v>70</v>
      </c>
      <c r="B53" s="50" t="s">
        <v>71</v>
      </c>
      <c r="C53" s="11">
        <f>(C19+C29)/C20</f>
        <v>1.8795199114622092E-2</v>
      </c>
      <c r="D53" s="11">
        <f>'Industry Summary'!L55</f>
        <v>4.8453002725657834E-2</v>
      </c>
      <c r="E53" s="11">
        <f>(D19+D29)/D20</f>
        <v>1.5545312301771896E-2</v>
      </c>
      <c r="F53" s="11">
        <f>'Industry Summary'!L67</f>
        <v>5.3467726099874505E-2</v>
      </c>
    </row>
    <row r="54" spans="1:12" ht="9" customHeight="1"/>
    <row r="55" spans="1:12" ht="26.85" customHeight="1">
      <c r="A55" s="56" t="s">
        <v>72</v>
      </c>
      <c r="B55" s="81"/>
      <c r="C55" s="81"/>
      <c r="D55" s="81"/>
      <c r="E55" s="81"/>
      <c r="F55" s="81"/>
      <c r="G55" s="81"/>
      <c r="H55" s="81"/>
      <c r="I55" s="81"/>
      <c r="J55" s="81"/>
      <c r="K55" s="81"/>
      <c r="L55" s="81"/>
    </row>
    <row r="56" spans="1:12" ht="15.75" customHeight="1">
      <c r="C56" s="57" t="s">
        <v>28</v>
      </c>
      <c r="D56" s="84"/>
      <c r="E56" s="57" t="s">
        <v>29</v>
      </c>
      <c r="F56" s="84"/>
    </row>
    <row r="57" spans="1:12" ht="21.95" customHeight="1">
      <c r="A57" s="5" t="s">
        <v>57</v>
      </c>
      <c r="B57" s="5" t="s">
        <v>58</v>
      </c>
      <c r="C57" s="5" t="s">
        <v>59</v>
      </c>
      <c r="D57" s="5" t="s">
        <v>60</v>
      </c>
      <c r="E57" s="5" t="s">
        <v>59</v>
      </c>
      <c r="F57" s="5" t="s">
        <v>60</v>
      </c>
    </row>
    <row r="58" spans="1:12" ht="41.1" customHeight="1">
      <c r="A58" s="2" t="s">
        <v>73</v>
      </c>
      <c r="B58" s="50" t="s">
        <v>74</v>
      </c>
      <c r="C58" s="12">
        <f>C26/C22</f>
        <v>0.11270053789960773</v>
      </c>
      <c r="D58" s="12">
        <f>'Industry Summary'!L51</f>
        <v>0.11618978422920279</v>
      </c>
      <c r="E58" s="12">
        <f>D26/D22</f>
        <v>0.10930592728475626</v>
      </c>
      <c r="F58" s="12">
        <f>'Industry Summary'!L63</f>
        <v>0.19305876648692805</v>
      </c>
    </row>
    <row r="59" spans="1:12" ht="70.5" customHeight="1">
      <c r="A59" s="2" t="s">
        <v>75</v>
      </c>
      <c r="B59" s="50" t="s">
        <v>76</v>
      </c>
      <c r="C59" s="12">
        <f>C26/AVERAGE(C37,C21)</f>
        <v>0.1115935062719985</v>
      </c>
      <c r="D59" s="12">
        <f>'Industry Summary'!L52</f>
        <v>0.13330559294801242</v>
      </c>
      <c r="E59" s="12">
        <f>D26/AVERAGE(C21,D21)</f>
        <v>9.9320285548382681E-2</v>
      </c>
      <c r="F59" s="12">
        <f>'Industry Summary'!L64</f>
        <v>0.20609893209627583</v>
      </c>
    </row>
    <row r="60" spans="1:12" ht="70.5" customHeight="1">
      <c r="A60" s="2" t="s">
        <v>77</v>
      </c>
      <c r="B60" s="50" t="s">
        <v>78</v>
      </c>
      <c r="C60" s="12">
        <f>C26/AVERAGE(C36,C20)</f>
        <v>0.14663739487879543</v>
      </c>
      <c r="D60" s="12">
        <f>'Industry Summary'!L53</f>
        <v>0.20662056251043043</v>
      </c>
      <c r="E60" s="12">
        <f>D26/AVERAGE(C20,D20)</f>
        <v>0.13036597339598024</v>
      </c>
      <c r="F60" s="12">
        <f>'Industry Summary'!L65</f>
        <v>0.33024034816826131</v>
      </c>
    </row>
    <row r="61" spans="1:12" ht="9" customHeight="1"/>
    <row r="62" spans="1:12" ht="26.85" customHeight="1">
      <c r="A62" s="56" t="s">
        <v>79</v>
      </c>
      <c r="B62" s="81"/>
      <c r="C62" s="81"/>
      <c r="D62" s="81"/>
      <c r="E62" s="81"/>
      <c r="F62" s="81"/>
      <c r="G62" s="81"/>
      <c r="H62" s="81"/>
      <c r="I62" s="81"/>
      <c r="J62" s="81"/>
      <c r="K62" s="81"/>
      <c r="L62" s="81"/>
    </row>
    <row r="63" spans="1:12" ht="15.75" customHeight="1">
      <c r="C63" s="57" t="s">
        <v>28</v>
      </c>
      <c r="D63" s="84"/>
      <c r="E63" s="57" t="s">
        <v>29</v>
      </c>
      <c r="F63" s="84"/>
    </row>
    <row r="64" spans="1:12" ht="21.95" customHeight="1">
      <c r="A64" s="5" t="s">
        <v>57</v>
      </c>
      <c r="B64" s="5" t="s">
        <v>58</v>
      </c>
      <c r="C64" s="5" t="s">
        <v>59</v>
      </c>
      <c r="D64" s="5" t="s">
        <v>60</v>
      </c>
      <c r="E64" s="5" t="s">
        <v>59</v>
      </c>
      <c r="F64" s="5" t="s">
        <v>60</v>
      </c>
    </row>
    <row r="65" spans="1:12" ht="138" customHeight="1">
      <c r="A65" s="2" t="s">
        <v>80</v>
      </c>
      <c r="B65" s="50" t="s">
        <v>81</v>
      </c>
      <c r="C65" s="11">
        <f>C23/AVERAGE(C35,C9)</f>
        <v>4.1140392604572984</v>
      </c>
      <c r="D65" s="11">
        <f>'Industry Summary'!L56</f>
        <v>3.0528355869658208</v>
      </c>
      <c r="E65" s="11">
        <f>D23/AVERAGE(C9,D9)</f>
        <v>4.1104903786468032</v>
      </c>
      <c r="F65" s="11">
        <f>'Industry Summary'!L68</f>
        <v>2.9688387658971824</v>
      </c>
    </row>
    <row r="66" spans="1:12" ht="9" customHeight="1"/>
    <row r="67" spans="1:12" ht="26.85" customHeight="1">
      <c r="A67" s="56" t="s">
        <v>82</v>
      </c>
      <c r="B67" s="81"/>
      <c r="C67" s="81"/>
      <c r="D67" s="81"/>
      <c r="E67" s="81"/>
      <c r="F67" s="81"/>
      <c r="G67" s="81"/>
      <c r="H67" s="81"/>
      <c r="I67" s="81"/>
      <c r="J67" s="81"/>
      <c r="K67" s="81"/>
      <c r="L67" s="81"/>
    </row>
    <row r="68" spans="1:12" ht="47.1" customHeight="1">
      <c r="A68" s="55" t="s">
        <v>83</v>
      </c>
      <c r="B68" s="81"/>
      <c r="C68" s="81"/>
      <c r="D68" s="81"/>
      <c r="E68" s="81"/>
      <c r="F68" s="81"/>
      <c r="G68" s="81"/>
      <c r="H68" s="81"/>
      <c r="I68" s="81"/>
      <c r="J68" s="81"/>
      <c r="K68" s="81"/>
      <c r="L68" s="81"/>
    </row>
    <row r="70" spans="1:12" ht="21.95" customHeight="1">
      <c r="A70" s="56" t="s">
        <v>84</v>
      </c>
      <c r="B70" s="81"/>
      <c r="C70" s="81"/>
      <c r="D70" s="81"/>
      <c r="E70" s="81"/>
      <c r="F70" s="81"/>
      <c r="G70" s="81"/>
      <c r="H70" s="81"/>
      <c r="I70" s="81"/>
      <c r="J70" s="81"/>
      <c r="K70" s="81"/>
      <c r="L70" s="81"/>
    </row>
    <row r="71" spans="1:12" ht="37.700000000000003" customHeight="1">
      <c r="A71" s="55" t="s">
        <v>85</v>
      </c>
      <c r="B71" s="81"/>
      <c r="C71" s="81"/>
      <c r="D71" s="81"/>
      <c r="E71" s="81"/>
      <c r="F71" s="81"/>
      <c r="G71" s="81"/>
      <c r="H71" s="81"/>
      <c r="I71" s="81"/>
      <c r="J71" s="81"/>
      <c r="K71" s="81"/>
      <c r="L71" s="81"/>
    </row>
    <row r="72" spans="1:12" ht="13.5" customHeight="1">
      <c r="A72" s="2" t="s">
        <v>86</v>
      </c>
      <c r="C72" s="4" t="s">
        <v>201</v>
      </c>
    </row>
    <row r="73" spans="1:12" ht="15.6" customHeight="1">
      <c r="A73" s="13" t="s">
        <v>43</v>
      </c>
      <c r="C73" s="7">
        <v>1254.8599999999999</v>
      </c>
    </row>
    <row r="75" spans="1:12" ht="21.95" customHeight="1">
      <c r="A75" s="56" t="s">
        <v>88</v>
      </c>
      <c r="B75" s="81"/>
      <c r="C75" s="81"/>
      <c r="D75" s="81"/>
      <c r="E75" s="81"/>
      <c r="F75" s="81"/>
      <c r="G75" s="81"/>
      <c r="H75" s="81"/>
      <c r="I75" s="81"/>
      <c r="J75" s="81"/>
      <c r="K75" s="81"/>
      <c r="L75" s="81"/>
    </row>
    <row r="76" spans="1:12" ht="13.5" customHeight="1">
      <c r="A76" s="2" t="s">
        <v>26</v>
      </c>
      <c r="C76" s="57" t="s">
        <v>201</v>
      </c>
      <c r="D76" s="84"/>
    </row>
    <row r="77" spans="1:12" ht="13.5" customHeight="1">
      <c r="C77" s="4" t="s">
        <v>28</v>
      </c>
      <c r="D77" s="4" t="s">
        <v>29</v>
      </c>
    </row>
    <row r="78" spans="1:12" ht="28.35" customHeight="1">
      <c r="A78" s="13" t="s">
        <v>89</v>
      </c>
      <c r="C78" s="7">
        <v>1102.42</v>
      </c>
      <c r="D78" s="7">
        <v>1141.21</v>
      </c>
    </row>
    <row r="79" spans="1:12" ht="15.6" customHeight="1">
      <c r="A79" s="13" t="s">
        <v>90</v>
      </c>
      <c r="C79" s="7">
        <v>2.96</v>
      </c>
      <c r="D79" s="7">
        <v>2.39</v>
      </c>
    </row>
    <row r="81" spans="1:12" ht="21.95" customHeight="1">
      <c r="A81" s="56" t="s">
        <v>91</v>
      </c>
      <c r="B81" s="81"/>
      <c r="C81" s="81"/>
      <c r="D81" s="81"/>
      <c r="E81" s="81"/>
      <c r="F81" s="81"/>
      <c r="G81" s="81"/>
      <c r="H81" s="81"/>
      <c r="I81" s="81"/>
      <c r="J81" s="81"/>
      <c r="K81" s="81"/>
      <c r="L81" s="81"/>
    </row>
    <row r="82" spans="1:12" ht="37.700000000000003" customHeight="1">
      <c r="A82" s="55" t="s">
        <v>92</v>
      </c>
      <c r="B82" s="81"/>
      <c r="C82" s="81"/>
      <c r="D82" s="81"/>
      <c r="E82" s="81"/>
      <c r="F82" s="81"/>
      <c r="G82" s="81"/>
      <c r="H82" s="81"/>
      <c r="I82" s="81"/>
      <c r="J82" s="81"/>
      <c r="K82" s="81"/>
      <c r="L82" s="81"/>
    </row>
    <row r="84" spans="1:12" ht="13.5" customHeight="1">
      <c r="C84" s="57" t="s">
        <v>28</v>
      </c>
      <c r="D84" s="84"/>
      <c r="E84" s="57" t="s">
        <v>29</v>
      </c>
      <c r="F84" s="84"/>
    </row>
    <row r="85" spans="1:12" ht="15.6" customHeight="1">
      <c r="A85" s="3" t="s">
        <v>57</v>
      </c>
      <c r="B85" s="3" t="s">
        <v>58</v>
      </c>
      <c r="C85" s="3" t="s">
        <v>59</v>
      </c>
      <c r="D85" s="3" t="s">
        <v>60</v>
      </c>
      <c r="E85" s="3" t="s">
        <v>59</v>
      </c>
      <c r="F85" s="3" t="s">
        <v>60</v>
      </c>
    </row>
    <row r="86" spans="1:12" ht="67.5" customHeight="1">
      <c r="A86" s="2" t="s">
        <v>93</v>
      </c>
      <c r="B86" s="50" t="s">
        <v>94</v>
      </c>
      <c r="C86" s="12">
        <f>(C22-C73)/C73</f>
        <v>1.7794813764085361E-2</v>
      </c>
      <c r="D86" s="12">
        <f>'Industry Summary'!L75</f>
        <v>5.5003857669910948E-3</v>
      </c>
      <c r="E86" s="12">
        <f>(D22-C22)/C22</f>
        <v>4.1442541830111285E-2</v>
      </c>
      <c r="F86" s="12">
        <f>'Industry Summary'!L80</f>
        <v>3.8760261726408533E-3</v>
      </c>
    </row>
    <row r="87" spans="1:12" ht="36.75" customHeight="1">
      <c r="A87" s="2" t="s">
        <v>95</v>
      </c>
      <c r="B87" s="50" t="s">
        <v>96</v>
      </c>
      <c r="C87" s="12">
        <f>(C22-(C78-C79))/C22</f>
        <v>0.13915705572389386</v>
      </c>
      <c r="D87" s="12">
        <f>'Industry Summary'!L76</f>
        <v>0.13378095531393658</v>
      </c>
      <c r="E87" s="12">
        <f>(D22-(D78-D79))/D22</f>
        <v>0.14382161008029348</v>
      </c>
      <c r="F87" s="12">
        <f>'Industry Summary'!L81</f>
        <v>0.13140018742773768</v>
      </c>
    </row>
    <row r="88" spans="1:12" ht="9" customHeight="1"/>
    <row r="89" spans="1:12" ht="26.85" customHeight="1">
      <c r="A89" s="56" t="s">
        <v>97</v>
      </c>
      <c r="B89" s="81"/>
      <c r="C89" s="81"/>
      <c r="D89" s="81"/>
      <c r="E89" s="81"/>
      <c r="F89" s="81"/>
      <c r="G89" s="81"/>
      <c r="H89" s="81"/>
      <c r="I89" s="81"/>
      <c r="J89" s="81"/>
      <c r="K89" s="81"/>
      <c r="L89" s="81"/>
    </row>
    <row r="90" spans="1:12" ht="32.1" customHeight="1">
      <c r="A90" s="55" t="s">
        <v>98</v>
      </c>
      <c r="B90" s="81"/>
      <c r="C90" s="81"/>
      <c r="D90" s="81"/>
      <c r="E90" s="81"/>
      <c r="F90" s="81"/>
      <c r="G90" s="81"/>
      <c r="H90" s="81"/>
      <c r="I90" s="81"/>
      <c r="J90" s="81"/>
      <c r="K90" s="81"/>
      <c r="L90" s="81"/>
    </row>
    <row r="92" spans="1:12" ht="15.75" customHeight="1">
      <c r="C92" s="57" t="s">
        <v>28</v>
      </c>
      <c r="D92" s="84"/>
      <c r="E92" s="57" t="s">
        <v>29</v>
      </c>
      <c r="F92" s="84"/>
    </row>
    <row r="93" spans="1:12" ht="21.95" customHeight="1">
      <c r="A93" s="5" t="s">
        <v>99</v>
      </c>
      <c r="B93" s="5" t="s">
        <v>58</v>
      </c>
      <c r="C93" s="5" t="s">
        <v>59</v>
      </c>
      <c r="D93" s="5" t="s">
        <v>60</v>
      </c>
      <c r="E93" s="5" t="s">
        <v>59</v>
      </c>
      <c r="F93" s="5" t="s">
        <v>60</v>
      </c>
    </row>
    <row r="94" spans="1:12" ht="29.25" customHeight="1">
      <c r="A94" s="10" t="s">
        <v>73</v>
      </c>
      <c r="B94" s="50" t="s">
        <v>100</v>
      </c>
      <c r="C94" s="12">
        <f>C26/C22</f>
        <v>0.11270053789960773</v>
      </c>
      <c r="D94" s="12">
        <f>'Industry Summary'!L51</f>
        <v>0.11618978422920279</v>
      </c>
      <c r="E94" s="12">
        <f>D26/D22</f>
        <v>0.10930592728475626</v>
      </c>
      <c r="F94" s="12">
        <f>'Industry Summary'!L63</f>
        <v>0.19305876648692805</v>
      </c>
    </row>
    <row r="95" spans="1:12" ht="29.25" customHeight="1">
      <c r="A95" s="10" t="s">
        <v>101</v>
      </c>
      <c r="B95" s="50" t="s">
        <v>102</v>
      </c>
      <c r="C95" s="11">
        <f>C22/AVERAGE(C37,C21)</f>
        <v>0.99017722853643031</v>
      </c>
      <c r="D95" s="11">
        <f>'Industry Summary'!L100</f>
        <v>1.15981123610491</v>
      </c>
      <c r="E95" s="11">
        <f>D22/AVERAGE(C21,D21)</f>
        <v>0.90864501144242915</v>
      </c>
      <c r="F95" s="11">
        <f>'Industry Summary'!L107</f>
        <v>1.0467514310922286</v>
      </c>
    </row>
    <row r="96" spans="1:12" ht="36.75" customHeight="1">
      <c r="A96" s="10" t="s">
        <v>103</v>
      </c>
      <c r="B96" s="50" t="s">
        <v>104</v>
      </c>
      <c r="C96" s="11">
        <f>AVERAGE(C37,C21)/AVERAGE(C36,C20)</f>
        <v>1.3140316114934216</v>
      </c>
      <c r="D96" s="11">
        <f>'Industry Summary'!L101</f>
        <v>1.5300609788525232</v>
      </c>
      <c r="E96" s="11">
        <f>AVERAGE(C21,D21)/AVERAGE(C20,D20)</f>
        <v>1.31258154037902</v>
      </c>
      <c r="F96" s="11">
        <f>'Industry Summary'!L108</f>
        <v>1.4416243000688247</v>
      </c>
    </row>
    <row r="97" spans="1:12" ht="48.6" customHeight="1">
      <c r="A97" s="2" t="s">
        <v>105</v>
      </c>
      <c r="B97" s="50" t="s">
        <v>106</v>
      </c>
      <c r="C97" s="14">
        <f>C94*C95*C96</f>
        <v>0.14663739487879546</v>
      </c>
      <c r="D97" s="14">
        <f>D94*D95*D96</f>
        <v>0.20618828982399792</v>
      </c>
      <c r="E97" s="14">
        <f>E94*E95*E96</f>
        <v>0.13036597339598024</v>
      </c>
      <c r="F97" s="14">
        <f>F94*F95*F96</f>
        <v>0.29132998368373403</v>
      </c>
    </row>
    <row r="98" spans="1:12" ht="45.6" customHeight="1">
      <c r="A98" s="55" t="s">
        <v>202</v>
      </c>
      <c r="B98" s="81"/>
      <c r="C98" s="81"/>
      <c r="D98" s="81"/>
      <c r="E98" s="81"/>
      <c r="F98" s="81"/>
      <c r="G98" s="81"/>
      <c r="H98" s="81"/>
      <c r="I98" s="81"/>
      <c r="J98" s="81"/>
      <c r="K98" s="81"/>
      <c r="L98" s="81"/>
    </row>
    <row r="99" spans="1:12" ht="9" customHeight="1"/>
    <row r="100" spans="1:12" ht="26.85" customHeight="1">
      <c r="A100" s="56" t="s">
        <v>108</v>
      </c>
      <c r="B100" s="81"/>
      <c r="C100" s="81"/>
      <c r="D100" s="81"/>
      <c r="E100" s="81"/>
      <c r="F100" s="81"/>
      <c r="G100" s="81"/>
      <c r="H100" s="81"/>
      <c r="I100" s="81"/>
      <c r="J100" s="81"/>
      <c r="K100" s="81"/>
      <c r="L100" s="81"/>
    </row>
    <row r="101" spans="1:12" ht="35.1" customHeight="1">
      <c r="A101" s="55" t="s">
        <v>109</v>
      </c>
      <c r="B101" s="81"/>
      <c r="C101" s="81"/>
      <c r="D101" s="81"/>
      <c r="E101" s="81"/>
      <c r="F101" s="81"/>
      <c r="G101" s="81"/>
      <c r="H101" s="81"/>
      <c r="I101" s="81"/>
      <c r="J101" s="81"/>
      <c r="K101" s="81"/>
      <c r="L101" s="81"/>
    </row>
    <row r="103" spans="1:12" ht="56.1" customHeight="1">
      <c r="A103" s="55" t="s">
        <v>110</v>
      </c>
      <c r="B103" s="81"/>
      <c r="C103" s="81"/>
      <c r="D103" s="81"/>
      <c r="E103" s="81"/>
      <c r="F103" s="81"/>
      <c r="G103" s="81"/>
      <c r="H103" s="81"/>
      <c r="I103" s="81"/>
      <c r="J103" s="81"/>
      <c r="K103" s="81"/>
      <c r="L103" s="81"/>
    </row>
    <row r="105" spans="1:12" ht="21.95" customHeight="1">
      <c r="A105" s="5" t="s">
        <v>111</v>
      </c>
      <c r="B105" s="5" t="s">
        <v>58</v>
      </c>
      <c r="C105" s="5" t="s">
        <v>59</v>
      </c>
      <c r="D105" s="5" t="s">
        <v>60</v>
      </c>
      <c r="E105" s="5" t="s">
        <v>59</v>
      </c>
      <c r="F105" s="5" t="s">
        <v>60</v>
      </c>
    </row>
    <row r="106" spans="1:12" ht="36.75" customHeight="1">
      <c r="A106" s="10" t="s">
        <v>112</v>
      </c>
      <c r="B106" s="50" t="s">
        <v>113</v>
      </c>
      <c r="C106" s="12">
        <f>C26/C24</f>
        <v>0.74879051136659214</v>
      </c>
      <c r="D106" s="12">
        <f>'Industry Summary'!L116</f>
        <v>0.74455075714168328</v>
      </c>
      <c r="E106" s="12">
        <f>D26/D24</f>
        <v>0.74455881599836116</v>
      </c>
      <c r="F106" s="12">
        <f>'Industry Summary'!L127</f>
        <v>0.76399743065236247</v>
      </c>
    </row>
    <row r="107" spans="1:12" ht="36.75" customHeight="1">
      <c r="A107" s="10" t="s">
        <v>114</v>
      </c>
      <c r="B107" s="50" t="s">
        <v>115</v>
      </c>
      <c r="C107" s="12">
        <f>C24/(C24+C79)</f>
        <v>0.98483528869306824</v>
      </c>
      <c r="D107" s="12">
        <f>'Industry Summary'!L117</f>
        <v>0.97925395698897622</v>
      </c>
      <c r="E107" s="12">
        <f>D24/(D24+D79)</f>
        <v>0.98790852979864419</v>
      </c>
      <c r="F107" s="12">
        <f>'Industry Summary'!L128</f>
        <v>0.98174460403916297</v>
      </c>
    </row>
    <row r="108" spans="1:12" ht="29.25" customHeight="1">
      <c r="A108" s="10" t="s">
        <v>116</v>
      </c>
      <c r="B108" s="50" t="s">
        <v>117</v>
      </c>
      <c r="C108" s="12">
        <f>(C24+C79)/C22</f>
        <v>0.15282769204268745</v>
      </c>
      <c r="D108" s="12">
        <f>'Industry Summary'!L118</f>
        <v>0.15948466093114239</v>
      </c>
      <c r="E108" s="12">
        <f>(D24+D79)/D22</f>
        <v>0.14860313355186</v>
      </c>
      <c r="F108" s="12">
        <f>'Industry Summary'!L129</f>
        <v>0.24689541654707003</v>
      </c>
    </row>
    <row r="109" spans="1:12" ht="48" customHeight="1">
      <c r="A109" s="10" t="s">
        <v>101</v>
      </c>
      <c r="B109" s="50" t="s">
        <v>118</v>
      </c>
      <c r="C109" s="11">
        <f>C95</f>
        <v>0.99017722853643031</v>
      </c>
      <c r="D109" s="11">
        <f>'Industry Summary'!L100</f>
        <v>1.15981123610491</v>
      </c>
      <c r="E109" s="11">
        <f>E95</f>
        <v>0.90864501144242915</v>
      </c>
      <c r="F109" s="11">
        <f>'Industry Summary'!L107</f>
        <v>1.0467514310922286</v>
      </c>
    </row>
    <row r="110" spans="1:12" ht="59.25" customHeight="1">
      <c r="A110" s="10" t="s">
        <v>103</v>
      </c>
      <c r="B110" s="50" t="s">
        <v>119</v>
      </c>
      <c r="C110" s="11">
        <f>C96</f>
        <v>1.3140316114934216</v>
      </c>
      <c r="D110" s="11">
        <f>'Industry Summary'!L101</f>
        <v>1.5300609788525232</v>
      </c>
      <c r="E110" s="11">
        <f>E96</f>
        <v>1.31258154037902</v>
      </c>
      <c r="F110" s="11">
        <f>'Industry Summary'!L108</f>
        <v>1.4416243000688247</v>
      </c>
    </row>
    <row r="111" spans="1:12" ht="59.25" customHeight="1">
      <c r="A111" s="2" t="s">
        <v>120</v>
      </c>
      <c r="B111" s="50" t="s">
        <v>121</v>
      </c>
      <c r="C111" s="14">
        <f>C106*C107*C108*C109*C110</f>
        <v>0.14663739487879546</v>
      </c>
      <c r="D111" s="14">
        <f>D106*D107*D108*D109*D110</f>
        <v>0.20635006757934402</v>
      </c>
      <c r="E111" s="14">
        <f>E106*E107*E108*E109*E110</f>
        <v>0.13036597339598024</v>
      </c>
      <c r="F111" s="14">
        <f>F106*F107*F108*F109*F110</f>
        <v>0.27944677766678511</v>
      </c>
    </row>
    <row r="112" spans="1:12" ht="70.5" customHeight="1">
      <c r="A112" s="10" t="s">
        <v>122</v>
      </c>
      <c r="B112" s="50" t="s">
        <v>123</v>
      </c>
      <c r="C112" s="12">
        <f>C60</f>
        <v>0.14663739487879543</v>
      </c>
      <c r="D112" s="12">
        <f>D60</f>
        <v>0.20662056251043043</v>
      </c>
      <c r="E112" s="12">
        <f>E60</f>
        <v>0.13036597339598024</v>
      </c>
      <c r="F112" s="12">
        <f>F60</f>
        <v>0.33024034816826131</v>
      </c>
    </row>
    <row r="113" spans="1:12" ht="48" customHeight="1">
      <c r="A113" s="10" t="s">
        <v>124</v>
      </c>
      <c r="B113" s="50" t="s">
        <v>125</v>
      </c>
      <c r="C113" s="15">
        <f>C111-C112</f>
        <v>0</v>
      </c>
      <c r="D113" s="15">
        <f>D111-D112</f>
        <v>-2.7049493108641243E-4</v>
      </c>
      <c r="E113" s="15">
        <f>E111-E112</f>
        <v>0</v>
      </c>
      <c r="F113" s="15">
        <f>F111-F112</f>
        <v>-5.0793570501476204E-2</v>
      </c>
    </row>
    <row r="114" spans="1:12" ht="51" customHeight="1">
      <c r="A114" s="55" t="s">
        <v>126</v>
      </c>
      <c r="B114" s="81"/>
      <c r="C114" s="81"/>
      <c r="D114" s="81"/>
      <c r="E114" s="81"/>
      <c r="F114" s="81"/>
      <c r="G114" s="81"/>
      <c r="H114" s="81"/>
      <c r="I114" s="81"/>
      <c r="J114" s="81"/>
      <c r="K114" s="81"/>
      <c r="L114" s="81"/>
    </row>
    <row r="115" spans="1:12" ht="9" customHeight="1"/>
    <row r="116" spans="1:12" ht="26.85" customHeight="1">
      <c r="A116" s="56" t="s">
        <v>127</v>
      </c>
      <c r="B116" s="81"/>
      <c r="C116" s="81"/>
      <c r="D116" s="81"/>
      <c r="E116" s="81"/>
      <c r="F116" s="81"/>
      <c r="G116" s="81"/>
      <c r="H116" s="81"/>
      <c r="I116" s="81"/>
      <c r="J116" s="81"/>
      <c r="K116" s="81"/>
      <c r="L116" s="81"/>
    </row>
    <row r="117" spans="1:12" ht="36.6" customHeight="1">
      <c r="A117" s="3" t="s">
        <v>57</v>
      </c>
      <c r="B117" s="3" t="s">
        <v>128</v>
      </c>
      <c r="C117" s="3" t="s">
        <v>129</v>
      </c>
      <c r="D117" s="3" t="s">
        <v>130</v>
      </c>
      <c r="E117" s="3" t="s">
        <v>131</v>
      </c>
    </row>
    <row r="118" spans="1:12" ht="15" customHeight="1">
      <c r="A118" s="51" t="s">
        <v>61</v>
      </c>
      <c r="B118" s="52">
        <f t="shared" ref="B118:E120" si="0">C45</f>
        <v>2.3982855870565531</v>
      </c>
      <c r="C118" s="52">
        <f t="shared" si="0"/>
        <v>2.4353778229716396</v>
      </c>
      <c r="D118" s="52">
        <f t="shared" si="0"/>
        <v>2.225504490843345</v>
      </c>
      <c r="E118" s="52">
        <f t="shared" si="0"/>
        <v>2.4275972449136276</v>
      </c>
    </row>
    <row r="119" spans="1:12" ht="15" customHeight="1">
      <c r="A119" s="51" t="s">
        <v>63</v>
      </c>
      <c r="B119" s="52">
        <f t="shared" si="0"/>
        <v>1.8448864479738754</v>
      </c>
      <c r="C119" s="52">
        <f t="shared" si="0"/>
        <v>1.5808142416651734</v>
      </c>
      <c r="D119" s="52">
        <f t="shared" si="0"/>
        <v>1.7208095182549863</v>
      </c>
      <c r="E119" s="52">
        <f t="shared" si="0"/>
        <v>1.6811361655827657</v>
      </c>
    </row>
    <row r="120" spans="1:12" ht="15" customHeight="1">
      <c r="A120" s="51" t="s">
        <v>65</v>
      </c>
      <c r="B120" s="52">
        <f t="shared" si="0"/>
        <v>0.13767255454950275</v>
      </c>
      <c r="C120" s="52">
        <f t="shared" si="0"/>
        <v>0.15262563733347595</v>
      </c>
      <c r="D120" s="52">
        <f t="shared" si="0"/>
        <v>8.32555698122011E-2</v>
      </c>
      <c r="E120" s="52">
        <f t="shared" si="0"/>
        <v>0.11967228575278641</v>
      </c>
    </row>
    <row r="121" spans="1:12" ht="15" customHeight="1">
      <c r="A121" s="51" t="s">
        <v>68</v>
      </c>
      <c r="B121" s="52">
        <f t="shared" ref="B121:E122" si="1">C52</f>
        <v>0</v>
      </c>
      <c r="C121" s="52">
        <f t="shared" si="1"/>
        <v>4.2882759079160922E-4</v>
      </c>
      <c r="D121" s="52">
        <f t="shared" si="1"/>
        <v>0</v>
      </c>
      <c r="E121" s="52">
        <f t="shared" si="1"/>
        <v>1.1449284846758376E-2</v>
      </c>
    </row>
    <row r="122" spans="1:12" ht="15" customHeight="1">
      <c r="A122" s="51" t="s">
        <v>132</v>
      </c>
      <c r="B122" s="52">
        <f t="shared" si="1"/>
        <v>1.8795199114622092E-2</v>
      </c>
      <c r="C122" s="52">
        <f t="shared" si="1"/>
        <v>4.8453002725657834E-2</v>
      </c>
      <c r="D122" s="52">
        <f t="shared" si="1"/>
        <v>1.5545312301771896E-2</v>
      </c>
      <c r="E122" s="52">
        <f t="shared" si="1"/>
        <v>5.3467726099874505E-2</v>
      </c>
    </row>
    <row r="123" spans="1:12" ht="15" customHeight="1"/>
    <row r="124" spans="1:12" ht="15" customHeight="1"/>
    <row r="125" spans="1:12" ht="15" customHeight="1"/>
    <row r="143" spans="1:5" ht="36.6" customHeight="1">
      <c r="A143" s="3" t="s">
        <v>57</v>
      </c>
      <c r="B143" s="3" t="s">
        <v>128</v>
      </c>
      <c r="C143" s="3" t="s">
        <v>129</v>
      </c>
      <c r="D143" s="3" t="s">
        <v>130</v>
      </c>
      <c r="E143" s="3" t="s">
        <v>131</v>
      </c>
    </row>
    <row r="144" spans="1:5" ht="15" customHeight="1">
      <c r="A144" s="51" t="s">
        <v>73</v>
      </c>
      <c r="B144" s="53">
        <f t="shared" ref="B144:E146" si="2">C58</f>
        <v>0.11270053789960773</v>
      </c>
      <c r="C144" s="53">
        <f t="shared" si="2"/>
        <v>0.11618978422920279</v>
      </c>
      <c r="D144" s="53">
        <f t="shared" si="2"/>
        <v>0.10930592728475626</v>
      </c>
      <c r="E144" s="53">
        <f t="shared" si="2"/>
        <v>0.19305876648692805</v>
      </c>
    </row>
    <row r="145" spans="1:5" ht="15" customHeight="1">
      <c r="A145" s="51" t="s">
        <v>133</v>
      </c>
      <c r="B145" s="53">
        <f t="shared" si="2"/>
        <v>0.1115935062719985</v>
      </c>
      <c r="C145" s="53">
        <f t="shared" si="2"/>
        <v>0.13330559294801242</v>
      </c>
      <c r="D145" s="53">
        <f t="shared" si="2"/>
        <v>9.9320285548382681E-2</v>
      </c>
      <c r="E145" s="53">
        <f t="shared" si="2"/>
        <v>0.20609893209627583</v>
      </c>
    </row>
    <row r="146" spans="1:5" ht="15" customHeight="1">
      <c r="A146" s="51" t="s">
        <v>134</v>
      </c>
      <c r="B146" s="53">
        <f t="shared" si="2"/>
        <v>0.14663739487879543</v>
      </c>
      <c r="C146" s="53">
        <f t="shared" si="2"/>
        <v>0.20662056251043043</v>
      </c>
      <c r="D146" s="53">
        <f t="shared" si="2"/>
        <v>0.13036597339598024</v>
      </c>
      <c r="E146" s="53">
        <f t="shared" si="2"/>
        <v>0.33024034816826131</v>
      </c>
    </row>
    <row r="149" spans="1:5" ht="16.5" customHeight="1"/>
    <row r="150" spans="1:5" ht="16.5" customHeight="1"/>
    <row r="151" spans="1:5" ht="14.25" customHeight="1"/>
    <row r="152" spans="1:5" ht="14.25" customHeight="1"/>
    <row r="153" spans="1:5" ht="14.25" customHeight="1"/>
    <row r="154" spans="1:5" ht="14.25" customHeight="1"/>
    <row r="155" spans="1:5" ht="14.25" customHeight="1"/>
    <row r="156" spans="1:5" ht="14.25" customHeight="1"/>
    <row r="157" spans="1:5" ht="14.25" customHeight="1"/>
    <row r="159" spans="1:5" ht="16.5" customHeight="1"/>
    <row r="160" spans="1:5" ht="14.25" customHeight="1"/>
    <row r="161" spans="1:12" ht="14.25" customHeight="1"/>
    <row r="162" spans="1:12" ht="14.25" customHeight="1"/>
    <row r="163" spans="1:12" ht="14.25" customHeight="1"/>
    <row r="164" spans="1:12" ht="14.25" customHeight="1"/>
    <row r="165" spans="1:12" ht="14.25" customHeight="1"/>
    <row r="166" spans="1:12" ht="14.25" customHeight="1"/>
    <row r="167" spans="1:12" ht="9" customHeight="1"/>
    <row r="168" spans="1:12" ht="26.85" customHeight="1">
      <c r="A168" s="56" t="s">
        <v>135</v>
      </c>
      <c r="B168" s="81"/>
      <c r="C168" s="81"/>
      <c r="D168" s="81"/>
      <c r="E168" s="81"/>
      <c r="F168" s="81"/>
      <c r="G168" s="81"/>
      <c r="H168" s="81"/>
      <c r="I168" s="81"/>
      <c r="J168" s="81"/>
      <c r="K168" s="81"/>
      <c r="L168" s="81"/>
    </row>
    <row r="169" spans="1:12" ht="24.4" customHeight="1">
      <c r="A169" s="56" t="s">
        <v>136</v>
      </c>
      <c r="B169" s="81"/>
      <c r="C169" s="81"/>
      <c r="D169" s="81"/>
      <c r="E169" s="81"/>
      <c r="F169" s="81"/>
      <c r="G169" s="81"/>
      <c r="H169" s="81"/>
      <c r="I169" s="81"/>
      <c r="J169" s="81"/>
      <c r="K169" s="81"/>
      <c r="L169" s="81"/>
    </row>
    <row r="170" spans="1:12" ht="36.6" customHeight="1">
      <c r="A170" s="55" t="s">
        <v>137</v>
      </c>
      <c r="B170" s="81"/>
      <c r="C170" s="81"/>
      <c r="D170" s="81"/>
      <c r="E170" s="81"/>
      <c r="F170" s="81"/>
      <c r="G170" s="81"/>
      <c r="H170" s="81"/>
      <c r="I170" s="81"/>
      <c r="J170" s="81"/>
      <c r="K170" s="81"/>
      <c r="L170" s="81"/>
    </row>
    <row r="171" spans="1:12" ht="67.150000000000006" customHeight="1">
      <c r="A171" s="55" t="s">
        <v>138</v>
      </c>
      <c r="B171" s="81"/>
      <c r="C171" s="81"/>
      <c r="D171" s="81"/>
      <c r="E171" s="81"/>
      <c r="F171" s="81"/>
      <c r="G171" s="81"/>
      <c r="H171" s="81"/>
      <c r="I171" s="81"/>
      <c r="J171" s="81"/>
      <c r="K171" s="81"/>
      <c r="L171" s="81"/>
    </row>
    <row r="172" spans="1:12" ht="51.95" customHeight="1">
      <c r="A172" s="55" t="s">
        <v>139</v>
      </c>
      <c r="B172" s="81"/>
      <c r="C172" s="81"/>
      <c r="D172" s="81"/>
      <c r="E172" s="81"/>
      <c r="F172" s="81"/>
      <c r="G172" s="81"/>
      <c r="H172" s="81"/>
      <c r="I172" s="81"/>
      <c r="J172" s="81"/>
      <c r="K172" s="81"/>
      <c r="L172" s="81"/>
    </row>
    <row r="173" spans="1:12" ht="51.95" customHeight="1">
      <c r="A173" s="55" t="s">
        <v>140</v>
      </c>
      <c r="B173" s="81"/>
      <c r="C173" s="81"/>
      <c r="D173" s="81"/>
      <c r="E173" s="81"/>
      <c r="F173" s="81"/>
      <c r="G173" s="81"/>
      <c r="H173" s="81"/>
      <c r="I173" s="81"/>
      <c r="J173" s="81"/>
      <c r="K173" s="81"/>
      <c r="L173" s="81"/>
    </row>
    <row r="174" spans="1:12" ht="36.6" customHeight="1">
      <c r="A174" s="55" t="s">
        <v>141</v>
      </c>
      <c r="B174" s="81"/>
      <c r="C174" s="81"/>
      <c r="D174" s="81"/>
      <c r="E174" s="81"/>
      <c r="F174" s="81"/>
      <c r="G174" s="81"/>
      <c r="H174" s="81"/>
      <c r="I174" s="81"/>
      <c r="J174" s="81"/>
      <c r="K174" s="81"/>
      <c r="L174" s="81"/>
    </row>
    <row r="175" spans="1:12" ht="9" customHeight="1"/>
    <row r="176" spans="1:12" ht="21.95" customHeight="1">
      <c r="A176" s="56" t="s">
        <v>142</v>
      </c>
      <c r="B176" s="81"/>
      <c r="C176" s="81"/>
      <c r="D176" s="81"/>
      <c r="E176" s="81"/>
      <c r="F176" s="81"/>
      <c r="G176" s="81"/>
      <c r="H176" s="81"/>
      <c r="I176" s="81"/>
      <c r="J176" s="81"/>
      <c r="K176" s="81"/>
      <c r="L176" s="81"/>
    </row>
    <row r="177" spans="1:12" ht="16.5" customHeight="1">
      <c r="A177" s="6" t="s">
        <v>143</v>
      </c>
    </row>
    <row r="178" spans="1:12" ht="8.4499999999999993" customHeight="1">
      <c r="A178" s="60" t="s">
        <v>203</v>
      </c>
      <c r="B178" s="85"/>
      <c r="C178" s="85"/>
      <c r="D178" s="85"/>
      <c r="E178" s="85"/>
      <c r="F178" s="85"/>
      <c r="G178" s="85"/>
      <c r="H178" s="85"/>
      <c r="I178" s="85"/>
      <c r="J178" s="85"/>
      <c r="K178" s="85"/>
      <c r="L178" s="85"/>
    </row>
    <row r="179" spans="1:12" ht="8.4499999999999993" customHeight="1">
      <c r="A179" s="86"/>
      <c r="B179" s="81"/>
      <c r="C179" s="81"/>
      <c r="D179" s="81"/>
      <c r="E179" s="81"/>
      <c r="F179" s="81"/>
      <c r="G179" s="81"/>
      <c r="H179" s="81"/>
      <c r="I179" s="81"/>
      <c r="J179" s="81"/>
      <c r="K179" s="81"/>
      <c r="L179" s="81"/>
    </row>
    <row r="180" spans="1:12" ht="8.4499999999999993" customHeight="1">
      <c r="A180" s="86"/>
      <c r="B180" s="81"/>
      <c r="C180" s="81"/>
      <c r="D180" s="81"/>
      <c r="E180" s="81"/>
      <c r="F180" s="81"/>
      <c r="G180" s="81"/>
      <c r="H180" s="81"/>
      <c r="I180" s="81"/>
      <c r="J180" s="81"/>
      <c r="K180" s="81"/>
      <c r="L180" s="81"/>
    </row>
    <row r="181" spans="1:12" ht="8.4499999999999993" customHeight="1">
      <c r="A181" s="86"/>
      <c r="B181" s="81"/>
      <c r="C181" s="81"/>
      <c r="D181" s="81"/>
      <c r="E181" s="81"/>
      <c r="F181" s="81"/>
      <c r="G181" s="81"/>
      <c r="H181" s="81"/>
      <c r="I181" s="81"/>
      <c r="J181" s="81"/>
      <c r="K181" s="81"/>
      <c r="L181" s="81"/>
    </row>
    <row r="182" spans="1:12" ht="8.4499999999999993" customHeight="1">
      <c r="A182" s="86"/>
      <c r="B182" s="81"/>
      <c r="C182" s="81"/>
      <c r="D182" s="81"/>
      <c r="E182" s="81"/>
      <c r="F182" s="81"/>
      <c r="G182" s="81"/>
      <c r="H182" s="81"/>
      <c r="I182" s="81"/>
      <c r="J182" s="81"/>
      <c r="K182" s="81"/>
      <c r="L182" s="81"/>
    </row>
    <row r="183" spans="1:12" ht="8.4499999999999993" customHeight="1">
      <c r="A183" s="86"/>
      <c r="B183" s="81"/>
      <c r="C183" s="81"/>
      <c r="D183" s="81"/>
      <c r="E183" s="81"/>
      <c r="F183" s="81"/>
      <c r="G183" s="81"/>
      <c r="H183" s="81"/>
      <c r="I183" s="81"/>
      <c r="J183" s="81"/>
      <c r="K183" s="81"/>
      <c r="L183" s="81"/>
    </row>
    <row r="184" spans="1:12" ht="8.4499999999999993" customHeight="1">
      <c r="A184" s="86"/>
      <c r="B184" s="81"/>
      <c r="C184" s="81"/>
      <c r="D184" s="81"/>
      <c r="E184" s="81"/>
      <c r="F184" s="81"/>
      <c r="G184" s="81"/>
      <c r="H184" s="81"/>
      <c r="I184" s="81"/>
      <c r="J184" s="81"/>
      <c r="K184" s="81"/>
      <c r="L184" s="81"/>
    </row>
    <row r="185" spans="1:12" ht="8.4499999999999993" customHeight="1">
      <c r="A185" s="86"/>
      <c r="B185" s="81"/>
      <c r="C185" s="81"/>
      <c r="D185" s="81"/>
      <c r="E185" s="81"/>
      <c r="F185" s="81"/>
      <c r="G185" s="81"/>
      <c r="H185" s="81"/>
      <c r="I185" s="81"/>
      <c r="J185" s="81"/>
      <c r="K185" s="81"/>
      <c r="L185" s="81"/>
    </row>
    <row r="186" spans="1:12" ht="8.4499999999999993" customHeight="1">
      <c r="A186" s="86"/>
      <c r="B186" s="81"/>
      <c r="C186" s="81"/>
      <c r="D186" s="81"/>
      <c r="E186" s="81"/>
      <c r="F186" s="81"/>
      <c r="G186" s="81"/>
      <c r="H186" s="81"/>
      <c r="I186" s="81"/>
      <c r="J186" s="81"/>
      <c r="K186" s="81"/>
      <c r="L186" s="81"/>
    </row>
    <row r="187" spans="1:12" ht="8.4499999999999993" customHeight="1">
      <c r="A187" s="86"/>
      <c r="B187" s="81"/>
      <c r="C187" s="81"/>
      <c r="D187" s="81"/>
      <c r="E187" s="81"/>
      <c r="F187" s="81"/>
      <c r="G187" s="81"/>
      <c r="H187" s="81"/>
      <c r="I187" s="81"/>
      <c r="J187" s="81"/>
      <c r="K187" s="81"/>
      <c r="L187" s="81"/>
    </row>
    <row r="188" spans="1:12" ht="8.4499999999999993" customHeight="1">
      <c r="A188" s="86"/>
      <c r="B188" s="81"/>
      <c r="C188" s="81"/>
      <c r="D188" s="81"/>
      <c r="E188" s="81"/>
      <c r="F188" s="81"/>
      <c r="G188" s="81"/>
      <c r="H188" s="81"/>
      <c r="I188" s="81"/>
      <c r="J188" s="81"/>
      <c r="K188" s="81"/>
      <c r="L188" s="81"/>
    </row>
    <row r="189" spans="1:12" ht="14.25" customHeight="1"/>
    <row r="190" spans="1:12" ht="16.5" customHeight="1">
      <c r="A190" s="6" t="s">
        <v>145</v>
      </c>
    </row>
    <row r="191" spans="1:12" ht="7.7" customHeight="1">
      <c r="A191" s="60" t="s">
        <v>204</v>
      </c>
      <c r="B191" s="85"/>
      <c r="C191" s="85"/>
      <c r="D191" s="85"/>
      <c r="E191" s="85"/>
      <c r="F191" s="85"/>
      <c r="G191" s="85"/>
      <c r="H191" s="85"/>
      <c r="I191" s="85"/>
      <c r="J191" s="85"/>
      <c r="K191" s="85"/>
      <c r="L191" s="85"/>
    </row>
    <row r="192" spans="1:12" ht="7.7" customHeight="1">
      <c r="A192" s="86"/>
      <c r="B192" s="81"/>
      <c r="C192" s="81"/>
      <c r="D192" s="81"/>
      <c r="E192" s="81"/>
      <c r="F192" s="81"/>
      <c r="G192" s="81"/>
      <c r="H192" s="81"/>
      <c r="I192" s="81"/>
      <c r="J192" s="81"/>
      <c r="K192" s="81"/>
      <c r="L192" s="81"/>
    </row>
    <row r="193" spans="1:12" ht="7.7" customHeight="1">
      <c r="A193" s="86"/>
      <c r="B193" s="81"/>
      <c r="C193" s="81"/>
      <c r="D193" s="81"/>
      <c r="E193" s="81"/>
      <c r="F193" s="81"/>
      <c r="G193" s="81"/>
      <c r="H193" s="81"/>
      <c r="I193" s="81"/>
      <c r="J193" s="81"/>
      <c r="K193" s="81"/>
      <c r="L193" s="81"/>
    </row>
    <row r="194" spans="1:12" ht="7.7" customHeight="1">
      <c r="A194" s="86"/>
      <c r="B194" s="81"/>
      <c r="C194" s="81"/>
      <c r="D194" s="81"/>
      <c r="E194" s="81"/>
      <c r="F194" s="81"/>
      <c r="G194" s="81"/>
      <c r="H194" s="81"/>
      <c r="I194" s="81"/>
      <c r="J194" s="81"/>
      <c r="K194" s="81"/>
      <c r="L194" s="81"/>
    </row>
    <row r="195" spans="1:12" ht="7.7" customHeight="1">
      <c r="A195" s="86"/>
      <c r="B195" s="81"/>
      <c r="C195" s="81"/>
      <c r="D195" s="81"/>
      <c r="E195" s="81"/>
      <c r="F195" s="81"/>
      <c r="G195" s="81"/>
      <c r="H195" s="81"/>
      <c r="I195" s="81"/>
      <c r="J195" s="81"/>
      <c r="K195" s="81"/>
      <c r="L195" s="81"/>
    </row>
    <row r="196" spans="1:12" ht="7.7" customHeight="1">
      <c r="A196" s="86"/>
      <c r="B196" s="81"/>
      <c r="C196" s="81"/>
      <c r="D196" s="81"/>
      <c r="E196" s="81"/>
      <c r="F196" s="81"/>
      <c r="G196" s="81"/>
      <c r="H196" s="81"/>
      <c r="I196" s="81"/>
      <c r="J196" s="81"/>
      <c r="K196" s="81"/>
      <c r="L196" s="81"/>
    </row>
    <row r="197" spans="1:12" ht="7.7" customHeight="1">
      <c r="A197" s="86"/>
      <c r="B197" s="81"/>
      <c r="C197" s="81"/>
      <c r="D197" s="81"/>
      <c r="E197" s="81"/>
      <c r="F197" s="81"/>
      <c r="G197" s="81"/>
      <c r="H197" s="81"/>
      <c r="I197" s="81"/>
      <c r="J197" s="81"/>
      <c r="K197" s="81"/>
      <c r="L197" s="81"/>
    </row>
    <row r="198" spans="1:12" ht="7.7" customHeight="1">
      <c r="A198" s="86"/>
      <c r="B198" s="81"/>
      <c r="C198" s="81"/>
      <c r="D198" s="81"/>
      <c r="E198" s="81"/>
      <c r="F198" s="81"/>
      <c r="G198" s="81"/>
      <c r="H198" s="81"/>
      <c r="I198" s="81"/>
      <c r="J198" s="81"/>
      <c r="K198" s="81"/>
      <c r="L198" s="81"/>
    </row>
    <row r="199" spans="1:12" ht="7.7" customHeight="1">
      <c r="A199" s="86"/>
      <c r="B199" s="81"/>
      <c r="C199" s="81"/>
      <c r="D199" s="81"/>
      <c r="E199" s="81"/>
      <c r="F199" s="81"/>
      <c r="G199" s="81"/>
      <c r="H199" s="81"/>
      <c r="I199" s="81"/>
      <c r="J199" s="81"/>
      <c r="K199" s="81"/>
      <c r="L199" s="81"/>
    </row>
    <row r="200" spans="1:12" ht="7.7" customHeight="1">
      <c r="A200" s="86"/>
      <c r="B200" s="81"/>
      <c r="C200" s="81"/>
      <c r="D200" s="81"/>
      <c r="E200" s="81"/>
      <c r="F200" s="81"/>
      <c r="G200" s="81"/>
      <c r="H200" s="81"/>
      <c r="I200" s="81"/>
      <c r="J200" s="81"/>
      <c r="K200" s="81"/>
      <c r="L200" s="81"/>
    </row>
    <row r="201" spans="1:12" ht="7.7" customHeight="1">
      <c r="A201" s="86"/>
      <c r="B201" s="81"/>
      <c r="C201" s="81"/>
      <c r="D201" s="81"/>
      <c r="E201" s="81"/>
      <c r="F201" s="81"/>
      <c r="G201" s="81"/>
      <c r="H201" s="81"/>
      <c r="I201" s="81"/>
      <c r="J201" s="81"/>
      <c r="K201" s="81"/>
      <c r="L201" s="81"/>
    </row>
    <row r="202" spans="1:12" ht="26.1" customHeight="1">
      <c r="A202" s="86"/>
      <c r="B202" s="81"/>
      <c r="C202" s="81"/>
      <c r="D202" s="81"/>
      <c r="E202" s="81"/>
      <c r="F202" s="81"/>
      <c r="G202" s="81"/>
      <c r="H202" s="81"/>
      <c r="I202" s="81"/>
      <c r="J202" s="81"/>
      <c r="K202" s="81"/>
      <c r="L202" s="81"/>
    </row>
    <row r="203" spans="1:12" ht="12" customHeight="1"/>
    <row r="204" spans="1:12" ht="16.5" customHeight="1">
      <c r="A204" s="6" t="s">
        <v>147</v>
      </c>
    </row>
    <row r="205" spans="1:12" ht="7.35" customHeight="1">
      <c r="A205" s="60" t="s">
        <v>205</v>
      </c>
      <c r="B205" s="85"/>
      <c r="C205" s="85"/>
      <c r="D205" s="85"/>
      <c r="E205" s="85"/>
      <c r="F205" s="85"/>
      <c r="G205" s="85"/>
      <c r="H205" s="85"/>
      <c r="I205" s="85"/>
      <c r="J205" s="85"/>
      <c r="K205" s="85"/>
      <c r="L205" s="85"/>
    </row>
    <row r="206" spans="1:12" ht="7.35" customHeight="1">
      <c r="A206" s="86"/>
      <c r="B206" s="81"/>
      <c r="C206" s="81"/>
      <c r="D206" s="81"/>
      <c r="E206" s="81"/>
      <c r="F206" s="81"/>
      <c r="G206" s="81"/>
      <c r="H206" s="81"/>
      <c r="I206" s="81"/>
      <c r="J206" s="81"/>
      <c r="K206" s="81"/>
      <c r="L206" s="81"/>
    </row>
    <row r="207" spans="1:12" ht="7.35" customHeight="1">
      <c r="A207" s="86"/>
      <c r="B207" s="81"/>
      <c r="C207" s="81"/>
      <c r="D207" s="81"/>
      <c r="E207" s="81"/>
      <c r="F207" s="81"/>
      <c r="G207" s="81"/>
      <c r="H207" s="81"/>
      <c r="I207" s="81"/>
      <c r="J207" s="81"/>
      <c r="K207" s="81"/>
      <c r="L207" s="81"/>
    </row>
    <row r="208" spans="1:12" ht="7.35" customHeight="1">
      <c r="A208" s="86"/>
      <c r="B208" s="81"/>
      <c r="C208" s="81"/>
      <c r="D208" s="81"/>
      <c r="E208" s="81"/>
      <c r="F208" s="81"/>
      <c r="G208" s="81"/>
      <c r="H208" s="81"/>
      <c r="I208" s="81"/>
      <c r="J208" s="81"/>
      <c r="K208" s="81"/>
      <c r="L208" s="81"/>
    </row>
    <row r="209" spans="1:12" ht="7.35" customHeight="1">
      <c r="A209" s="86"/>
      <c r="B209" s="81"/>
      <c r="C209" s="81"/>
      <c r="D209" s="81"/>
      <c r="E209" s="81"/>
      <c r="F209" s="81"/>
      <c r="G209" s="81"/>
      <c r="H209" s="81"/>
      <c r="I209" s="81"/>
      <c r="J209" s="81"/>
      <c r="K209" s="81"/>
      <c r="L209" s="81"/>
    </row>
    <row r="210" spans="1:12" ht="7.35" customHeight="1">
      <c r="A210" s="86"/>
      <c r="B210" s="81"/>
      <c r="C210" s="81"/>
      <c r="D210" s="81"/>
      <c r="E210" s="81"/>
      <c r="F210" s="81"/>
      <c r="G210" s="81"/>
      <c r="H210" s="81"/>
      <c r="I210" s="81"/>
      <c r="J210" s="81"/>
      <c r="K210" s="81"/>
      <c r="L210" s="81"/>
    </row>
    <row r="211" spans="1:12" ht="7.35" customHeight="1">
      <c r="A211" s="86"/>
      <c r="B211" s="81"/>
      <c r="C211" s="81"/>
      <c r="D211" s="81"/>
      <c r="E211" s="81"/>
      <c r="F211" s="81"/>
      <c r="G211" s="81"/>
      <c r="H211" s="81"/>
      <c r="I211" s="81"/>
      <c r="J211" s="81"/>
      <c r="K211" s="81"/>
      <c r="L211" s="81"/>
    </row>
    <row r="212" spans="1:12" ht="7.35" customHeight="1">
      <c r="A212" s="86"/>
      <c r="B212" s="81"/>
      <c r="C212" s="81"/>
      <c r="D212" s="81"/>
      <c r="E212" s="81"/>
      <c r="F212" s="81"/>
      <c r="G212" s="81"/>
      <c r="H212" s="81"/>
      <c r="I212" s="81"/>
      <c r="J212" s="81"/>
      <c r="K212" s="81"/>
      <c r="L212" s="81"/>
    </row>
    <row r="213" spans="1:12" ht="7.35" customHeight="1">
      <c r="A213" s="86"/>
      <c r="B213" s="81"/>
      <c r="C213" s="81"/>
      <c r="D213" s="81"/>
      <c r="E213" s="81"/>
      <c r="F213" s="81"/>
      <c r="G213" s="81"/>
      <c r="H213" s="81"/>
      <c r="I213" s="81"/>
      <c r="J213" s="81"/>
      <c r="K213" s="81"/>
      <c r="L213" s="81"/>
    </row>
    <row r="214" spans="1:12" ht="7.35" customHeight="1">
      <c r="A214" s="86"/>
      <c r="B214" s="81"/>
      <c r="C214" s="81"/>
      <c r="D214" s="81"/>
      <c r="E214" s="81"/>
      <c r="F214" s="81"/>
      <c r="G214" s="81"/>
      <c r="H214" s="81"/>
      <c r="I214" s="81"/>
      <c r="J214" s="81"/>
      <c r="K214" s="81"/>
      <c r="L214" s="81"/>
    </row>
    <row r="215" spans="1:12" ht="7.35" customHeight="1">
      <c r="A215" s="86"/>
      <c r="B215" s="81"/>
      <c r="C215" s="81"/>
      <c r="D215" s="81"/>
      <c r="E215" s="81"/>
      <c r="F215" s="81"/>
      <c r="G215" s="81"/>
      <c r="H215" s="81"/>
      <c r="I215" s="81"/>
      <c r="J215" s="81"/>
      <c r="K215" s="81"/>
      <c r="L215" s="81"/>
    </row>
    <row r="217" spans="1:12" ht="16.5" customHeight="1">
      <c r="A217" s="6" t="s">
        <v>149</v>
      </c>
    </row>
    <row r="218" spans="1:12" ht="8.4499999999999993" customHeight="1">
      <c r="A218" s="60" t="s">
        <v>206</v>
      </c>
      <c r="B218" s="85"/>
      <c r="C218" s="85"/>
      <c r="D218" s="85"/>
      <c r="E218" s="85"/>
      <c r="F218" s="85"/>
      <c r="G218" s="85"/>
      <c r="H218" s="85"/>
      <c r="I218" s="85"/>
      <c r="J218" s="85"/>
      <c r="K218" s="85"/>
      <c r="L218" s="85"/>
    </row>
    <row r="219" spans="1:12" ht="8.4499999999999993" customHeight="1">
      <c r="A219" s="86"/>
      <c r="B219" s="81"/>
      <c r="C219" s="81"/>
      <c r="D219" s="81"/>
      <c r="E219" s="81"/>
      <c r="F219" s="81"/>
      <c r="G219" s="81"/>
      <c r="H219" s="81"/>
      <c r="I219" s="81"/>
      <c r="J219" s="81"/>
      <c r="K219" s="81"/>
      <c r="L219" s="81"/>
    </row>
    <row r="220" spans="1:12" ht="8.4499999999999993" customHeight="1">
      <c r="A220" s="86"/>
      <c r="B220" s="81"/>
      <c r="C220" s="81"/>
      <c r="D220" s="81"/>
      <c r="E220" s="81"/>
      <c r="F220" s="81"/>
      <c r="G220" s="81"/>
      <c r="H220" s="81"/>
      <c r="I220" s="81"/>
      <c r="J220" s="81"/>
      <c r="K220" s="81"/>
      <c r="L220" s="81"/>
    </row>
    <row r="221" spans="1:12" ht="8.4499999999999993" customHeight="1">
      <c r="A221" s="86"/>
      <c r="B221" s="81"/>
      <c r="C221" s="81"/>
      <c r="D221" s="81"/>
      <c r="E221" s="81"/>
      <c r="F221" s="81"/>
      <c r="G221" s="81"/>
      <c r="H221" s="81"/>
      <c r="I221" s="81"/>
      <c r="J221" s="81"/>
      <c r="K221" s="81"/>
      <c r="L221" s="81"/>
    </row>
    <row r="222" spans="1:12" ht="8.4499999999999993" customHeight="1">
      <c r="A222" s="86"/>
      <c r="B222" s="81"/>
      <c r="C222" s="81"/>
      <c r="D222" s="81"/>
      <c r="E222" s="81"/>
      <c r="F222" s="81"/>
      <c r="G222" s="81"/>
      <c r="H222" s="81"/>
      <c r="I222" s="81"/>
      <c r="J222" s="81"/>
      <c r="K222" s="81"/>
      <c r="L222" s="81"/>
    </row>
    <row r="223" spans="1:12" ht="8.4499999999999993" customHeight="1">
      <c r="A223" s="86"/>
      <c r="B223" s="81"/>
      <c r="C223" s="81"/>
      <c r="D223" s="81"/>
      <c r="E223" s="81"/>
      <c r="F223" s="81"/>
      <c r="G223" s="81"/>
      <c r="H223" s="81"/>
      <c r="I223" s="81"/>
      <c r="J223" s="81"/>
      <c r="K223" s="81"/>
      <c r="L223" s="81"/>
    </row>
    <row r="224" spans="1:12" ht="8.4499999999999993" customHeight="1">
      <c r="A224" s="86"/>
      <c r="B224" s="81"/>
      <c r="C224" s="81"/>
      <c r="D224" s="81"/>
      <c r="E224" s="81"/>
      <c r="F224" s="81"/>
      <c r="G224" s="81"/>
      <c r="H224" s="81"/>
      <c r="I224" s="81"/>
      <c r="J224" s="81"/>
      <c r="K224" s="81"/>
      <c r="L224" s="81"/>
    </row>
    <row r="225" spans="1:12" ht="8.4499999999999993" customHeight="1">
      <c r="A225" s="86"/>
      <c r="B225" s="81"/>
      <c r="C225" s="81"/>
      <c r="D225" s="81"/>
      <c r="E225" s="81"/>
      <c r="F225" s="81"/>
      <c r="G225" s="81"/>
      <c r="H225" s="81"/>
      <c r="I225" s="81"/>
      <c r="J225" s="81"/>
      <c r="K225" s="81"/>
      <c r="L225" s="81"/>
    </row>
    <row r="226" spans="1:12" ht="8.4499999999999993" customHeight="1">
      <c r="A226" s="86"/>
      <c r="B226" s="81"/>
      <c r="C226" s="81"/>
      <c r="D226" s="81"/>
      <c r="E226" s="81"/>
      <c r="F226" s="81"/>
      <c r="G226" s="81"/>
      <c r="H226" s="81"/>
      <c r="I226" s="81"/>
      <c r="J226" s="81"/>
      <c r="K226" s="81"/>
      <c r="L226" s="81"/>
    </row>
    <row r="227" spans="1:12" ht="8.4499999999999993" customHeight="1">
      <c r="A227" s="86"/>
      <c r="B227" s="81"/>
      <c r="C227" s="81"/>
      <c r="D227" s="81"/>
      <c r="E227" s="81"/>
      <c r="F227" s="81"/>
      <c r="G227" s="81"/>
      <c r="H227" s="81"/>
      <c r="I227" s="81"/>
      <c r="J227" s="81"/>
      <c r="K227" s="81"/>
      <c r="L227" s="81"/>
    </row>
    <row r="228" spans="1:12" ht="8.4499999999999993" customHeight="1">
      <c r="A228" s="86"/>
      <c r="B228" s="81"/>
      <c r="C228" s="81"/>
      <c r="D228" s="81"/>
      <c r="E228" s="81"/>
      <c r="F228" s="81"/>
      <c r="G228" s="81"/>
      <c r="H228" s="81"/>
      <c r="I228" s="81"/>
      <c r="J228" s="81"/>
      <c r="K228" s="81"/>
      <c r="L228" s="81"/>
    </row>
    <row r="231" spans="1:12" ht="10.9" customHeight="1">
      <c r="A231" s="55" t="s">
        <v>207</v>
      </c>
      <c r="B231" s="81"/>
      <c r="C231" s="81"/>
      <c r="D231" s="81"/>
      <c r="E231" s="81"/>
      <c r="F231" s="81"/>
      <c r="G231" s="81"/>
      <c r="H231" s="81"/>
      <c r="I231" s="81"/>
      <c r="J231" s="81"/>
      <c r="K231" s="81"/>
      <c r="L231" s="81"/>
    </row>
    <row r="232" spans="1:12" ht="10.9" customHeight="1">
      <c r="A232" s="81"/>
      <c r="B232" s="81"/>
      <c r="C232" s="81"/>
      <c r="D232" s="81"/>
      <c r="E232" s="81"/>
      <c r="F232" s="81"/>
      <c r="G232" s="81"/>
      <c r="H232" s="81"/>
      <c r="I232" s="81"/>
      <c r="J232" s="81"/>
      <c r="K232" s="81"/>
      <c r="L232" s="81"/>
    </row>
    <row r="233" spans="1:12" ht="10.9" customHeight="1">
      <c r="A233" s="81"/>
      <c r="B233" s="81"/>
      <c r="C233" s="81"/>
      <c r="D233" s="81"/>
      <c r="E233" s="81"/>
      <c r="F233" s="81"/>
      <c r="G233" s="81"/>
      <c r="H233" s="81"/>
      <c r="I233" s="81"/>
      <c r="J233" s="81"/>
      <c r="K233" s="81"/>
      <c r="L233" s="81"/>
    </row>
    <row r="234" spans="1:12" ht="10.9" customHeight="1">
      <c r="A234" s="81"/>
      <c r="B234" s="81"/>
      <c r="C234" s="81"/>
      <c r="D234" s="81"/>
      <c r="E234" s="81"/>
      <c r="F234" s="81"/>
      <c r="G234" s="81"/>
      <c r="H234" s="81"/>
      <c r="I234" s="81"/>
      <c r="J234" s="81"/>
      <c r="K234" s="81"/>
      <c r="L234" s="81"/>
    </row>
    <row r="235" spans="1:12" ht="10.9" customHeight="1">
      <c r="A235" s="81"/>
      <c r="B235" s="81"/>
      <c r="C235" s="81"/>
      <c r="D235" s="81"/>
      <c r="E235" s="81"/>
      <c r="F235" s="81"/>
      <c r="G235" s="81"/>
      <c r="H235" s="81"/>
      <c r="I235" s="81"/>
      <c r="J235" s="81"/>
      <c r="K235" s="81"/>
      <c r="L235" s="81"/>
    </row>
    <row r="236" spans="1:12" ht="10.9" customHeight="1">
      <c r="A236" s="81"/>
      <c r="B236" s="81"/>
      <c r="C236" s="81"/>
      <c r="D236" s="81"/>
      <c r="E236" s="81"/>
      <c r="F236" s="81"/>
      <c r="G236" s="81"/>
      <c r="H236" s="81"/>
      <c r="I236" s="81"/>
      <c r="J236" s="81"/>
      <c r="K236" s="81"/>
      <c r="L236" s="81"/>
    </row>
    <row r="237" spans="1:12" ht="10.9" customHeight="1">
      <c r="A237" s="81"/>
      <c r="B237" s="81"/>
      <c r="C237" s="81"/>
      <c r="D237" s="81"/>
      <c r="E237" s="81"/>
      <c r="F237" s="81"/>
      <c r="G237" s="81"/>
      <c r="H237" s="81"/>
      <c r="I237" s="81"/>
      <c r="J237" s="81"/>
      <c r="K237" s="81"/>
      <c r="L237" s="81"/>
    </row>
    <row r="238" spans="1:12" ht="10.9" customHeight="1">
      <c r="A238" s="81"/>
      <c r="B238" s="81"/>
      <c r="C238" s="81"/>
      <c r="D238" s="81"/>
      <c r="E238" s="81"/>
      <c r="F238" s="81"/>
      <c r="G238" s="81"/>
      <c r="H238" s="81"/>
      <c r="I238" s="81"/>
      <c r="J238" s="81"/>
      <c r="K238" s="81"/>
      <c r="L238" s="81"/>
    </row>
    <row r="239" spans="1:12" ht="10.9" customHeight="1">
      <c r="A239" s="81"/>
      <c r="B239" s="81"/>
      <c r="C239" s="81"/>
      <c r="D239" s="81"/>
      <c r="E239" s="81"/>
      <c r="F239" s="81"/>
      <c r="G239" s="81"/>
      <c r="H239" s="81"/>
      <c r="I239" s="81"/>
      <c r="J239" s="81"/>
      <c r="K239" s="81"/>
      <c r="L239" s="81"/>
    </row>
    <row r="240" spans="1:12" ht="10.9" customHeight="1">
      <c r="A240" s="81"/>
      <c r="B240" s="81"/>
      <c r="C240" s="81"/>
      <c r="D240" s="81"/>
      <c r="E240" s="81"/>
      <c r="F240" s="81"/>
      <c r="G240" s="81"/>
      <c r="H240" s="81"/>
      <c r="I240" s="81"/>
      <c r="J240" s="81"/>
      <c r="K240" s="81"/>
      <c r="L240" s="81"/>
    </row>
    <row r="241" spans="1:12" ht="10.9" customHeight="1">
      <c r="A241" s="81"/>
      <c r="B241" s="81"/>
      <c r="C241" s="81"/>
      <c r="D241" s="81"/>
      <c r="E241" s="81"/>
      <c r="F241" s="81"/>
      <c r="G241" s="81"/>
      <c r="H241" s="81"/>
      <c r="I241" s="81"/>
      <c r="J241" s="81"/>
      <c r="K241" s="81"/>
      <c r="L241" s="81"/>
    </row>
    <row r="242" spans="1:12" ht="10.9" customHeight="1">
      <c r="A242" s="81"/>
      <c r="B242" s="81"/>
      <c r="C242" s="81"/>
      <c r="D242" s="81"/>
      <c r="E242" s="81"/>
      <c r="F242" s="81"/>
      <c r="G242" s="81"/>
      <c r="H242" s="81"/>
      <c r="I242" s="81"/>
      <c r="J242" s="81"/>
      <c r="K242" s="81"/>
      <c r="L242" s="81"/>
    </row>
    <row r="243" spans="1:12" ht="10.9" customHeight="1">
      <c r="A243" s="81"/>
      <c r="B243" s="81"/>
      <c r="C243" s="81"/>
      <c r="D243" s="81"/>
      <c r="E243" s="81"/>
      <c r="F243" s="81"/>
      <c r="G243" s="81"/>
      <c r="H243" s="81"/>
      <c r="I243" s="81"/>
      <c r="J243" s="81"/>
      <c r="K243" s="81"/>
      <c r="L243" s="81"/>
    </row>
    <row r="244" spans="1:12" ht="10.9" customHeight="1">
      <c r="A244" s="81"/>
      <c r="B244" s="81"/>
      <c r="C244" s="81"/>
      <c r="D244" s="81"/>
      <c r="E244" s="81"/>
      <c r="F244" s="81"/>
      <c r="G244" s="81"/>
      <c r="H244" s="81"/>
      <c r="I244" s="81"/>
      <c r="J244" s="81"/>
      <c r="K244" s="81"/>
      <c r="L244" s="81"/>
    </row>
    <row r="245" spans="1:12" ht="10.9" customHeight="1">
      <c r="A245" s="81"/>
      <c r="B245" s="81"/>
      <c r="C245" s="81"/>
      <c r="D245" s="81"/>
      <c r="E245" s="81"/>
      <c r="F245" s="81"/>
      <c r="G245" s="81"/>
      <c r="H245" s="81"/>
      <c r="I245" s="81"/>
      <c r="J245" s="81"/>
      <c r="K245" s="81"/>
      <c r="L245" s="81"/>
    </row>
    <row r="246" spans="1:12" ht="10.9" customHeight="1">
      <c r="A246" s="81"/>
      <c r="B246" s="81"/>
      <c r="C246" s="81"/>
      <c r="D246" s="81"/>
      <c r="E246" s="81"/>
      <c r="F246" s="81"/>
      <c r="G246" s="81"/>
      <c r="H246" s="81"/>
      <c r="I246" s="81"/>
      <c r="J246" s="81"/>
      <c r="K246" s="81"/>
      <c r="L246" s="81"/>
    </row>
    <row r="247" spans="1:12" ht="10.9" customHeight="1">
      <c r="A247" s="81"/>
      <c r="B247" s="81"/>
      <c r="C247" s="81"/>
      <c r="D247" s="81"/>
      <c r="E247" s="81"/>
      <c r="F247" s="81"/>
      <c r="G247" s="81"/>
      <c r="H247" s="81"/>
      <c r="I247" s="81"/>
      <c r="J247" s="81"/>
      <c r="K247" s="81"/>
      <c r="L247" s="81"/>
    </row>
    <row r="248" spans="1:12" ht="10.9" customHeight="1">
      <c r="A248" s="81"/>
      <c r="B248" s="81"/>
      <c r="C248" s="81"/>
      <c r="D248" s="81"/>
      <c r="E248" s="81"/>
      <c r="F248" s="81"/>
      <c r="G248" s="81"/>
      <c r="H248" s="81"/>
      <c r="I248" s="81"/>
      <c r="J248" s="81"/>
      <c r="K248" s="81"/>
      <c r="L248" s="81"/>
    </row>
    <row r="249" spans="1:12" ht="10.9" customHeight="1">
      <c r="A249" s="81"/>
      <c r="B249" s="81"/>
      <c r="C249" s="81"/>
      <c r="D249" s="81"/>
      <c r="E249" s="81"/>
      <c r="F249" s="81"/>
      <c r="G249" s="81"/>
      <c r="H249" s="81"/>
      <c r="I249" s="81"/>
      <c r="J249" s="81"/>
      <c r="K249" s="81"/>
      <c r="L249" s="81"/>
    </row>
    <row r="250" spans="1:12" ht="10.9" customHeight="1">
      <c r="A250" s="81"/>
      <c r="B250" s="81"/>
      <c r="C250" s="81"/>
      <c r="D250" s="81"/>
      <c r="E250" s="81"/>
      <c r="F250" s="81"/>
      <c r="G250" s="81"/>
      <c r="H250" s="81"/>
      <c r="I250" s="81"/>
      <c r="J250" s="81"/>
      <c r="K250" s="81"/>
      <c r="L250" s="81"/>
    </row>
    <row r="251" spans="1:12" ht="10.9" customHeight="1">
      <c r="A251" s="81"/>
      <c r="B251" s="81"/>
      <c r="C251" s="81"/>
      <c r="D251" s="81"/>
      <c r="E251" s="81"/>
      <c r="F251" s="81"/>
      <c r="G251" s="81"/>
      <c r="H251" s="81"/>
      <c r="I251" s="81"/>
      <c r="J251" s="81"/>
      <c r="K251" s="81"/>
      <c r="L251" s="81"/>
    </row>
    <row r="252" spans="1:12" ht="10.9" customHeight="1">
      <c r="A252" s="81"/>
      <c r="B252" s="81"/>
      <c r="C252" s="81"/>
      <c r="D252" s="81"/>
      <c r="E252" s="81"/>
      <c r="F252" s="81"/>
      <c r="G252" s="81"/>
      <c r="H252" s="81"/>
      <c r="I252" s="81"/>
      <c r="J252" s="81"/>
      <c r="K252" s="81"/>
      <c r="L252" s="81"/>
    </row>
    <row r="253" spans="1:12" ht="10.9" customHeight="1">
      <c r="A253" s="81"/>
      <c r="B253" s="81"/>
      <c r="C253" s="81"/>
      <c r="D253" s="81"/>
      <c r="E253" s="81"/>
      <c r="F253" s="81"/>
      <c r="G253" s="81"/>
      <c r="H253" s="81"/>
      <c r="I253" s="81"/>
      <c r="J253" s="81"/>
      <c r="K253" s="81"/>
      <c r="L253" s="81"/>
    </row>
    <row r="254" spans="1:12" ht="10.9" customHeight="1">
      <c r="A254" s="81"/>
      <c r="B254" s="81"/>
      <c r="C254" s="81"/>
      <c r="D254" s="81"/>
      <c r="E254" s="81"/>
      <c r="F254" s="81"/>
      <c r="G254" s="81"/>
      <c r="H254" s="81"/>
      <c r="I254" s="81"/>
      <c r="J254" s="81"/>
      <c r="K254" s="81"/>
      <c r="L254" s="81"/>
    </row>
    <row r="255" spans="1:12" ht="10.9" customHeight="1">
      <c r="A255" s="81"/>
      <c r="B255" s="81"/>
      <c r="C255" s="81"/>
      <c r="D255" s="81"/>
      <c r="E255" s="81"/>
      <c r="F255" s="81"/>
      <c r="G255" s="81"/>
      <c r="H255" s="81"/>
      <c r="I255" s="81"/>
      <c r="J255" s="81"/>
      <c r="K255" s="81"/>
      <c r="L255" s="81"/>
    </row>
    <row r="256" spans="1:12" ht="10.9" customHeight="1">
      <c r="A256" s="81"/>
      <c r="B256" s="81"/>
      <c r="C256" s="81"/>
      <c r="D256" s="81"/>
      <c r="E256" s="81"/>
      <c r="F256" s="81"/>
      <c r="G256" s="81"/>
      <c r="H256" s="81"/>
      <c r="I256" s="81"/>
      <c r="J256" s="81"/>
      <c r="K256" s="81"/>
      <c r="L256" s="81"/>
    </row>
    <row r="257" spans="1:12" ht="10.9" customHeight="1">
      <c r="A257" s="81"/>
      <c r="B257" s="81"/>
      <c r="C257" s="81"/>
      <c r="D257" s="81"/>
      <c r="E257" s="81"/>
      <c r="F257" s="81"/>
      <c r="G257" s="81"/>
      <c r="H257" s="81"/>
      <c r="I257" s="81"/>
      <c r="J257" s="81"/>
      <c r="K257" s="81"/>
      <c r="L257" s="81"/>
    </row>
    <row r="258" spans="1:12" ht="9" customHeight="1"/>
    <row r="259" spans="1:12" ht="21.95" customHeight="1">
      <c r="A259" s="56" t="s">
        <v>152</v>
      </c>
      <c r="B259" s="81"/>
      <c r="C259" s="81"/>
      <c r="D259" s="81"/>
      <c r="E259" s="81"/>
      <c r="F259" s="81"/>
      <c r="G259" s="81"/>
      <c r="H259" s="81"/>
      <c r="I259" s="81"/>
      <c r="J259" s="81"/>
      <c r="K259" s="81"/>
      <c r="L259" s="81"/>
    </row>
    <row r="260" spans="1:12" ht="37.700000000000003" customHeight="1">
      <c r="A260" s="61" t="s">
        <v>208</v>
      </c>
      <c r="B260" s="81"/>
      <c r="C260" s="81"/>
      <c r="D260" s="81"/>
      <c r="E260" s="81"/>
      <c r="F260" s="81"/>
      <c r="G260" s="81"/>
      <c r="H260" s="81"/>
      <c r="I260" s="81"/>
      <c r="J260" s="81"/>
      <c r="K260" s="81"/>
      <c r="L260" s="81"/>
    </row>
    <row r="262" spans="1:12" ht="83.45" customHeight="1">
      <c r="A262" s="55" t="s">
        <v>209</v>
      </c>
      <c r="B262" s="81"/>
      <c r="C262" s="81"/>
      <c r="D262" s="81"/>
      <c r="E262" s="81"/>
      <c r="F262" s="81"/>
      <c r="G262" s="81"/>
      <c r="H262" s="81"/>
      <c r="I262" s="81"/>
      <c r="J262" s="81"/>
      <c r="K262" s="81"/>
      <c r="L262" s="81"/>
    </row>
    <row r="263" spans="1:12" ht="9" customHeight="1"/>
    <row r="264" spans="1:12" ht="21.95" customHeight="1">
      <c r="A264" s="56" t="s">
        <v>155</v>
      </c>
      <c r="B264" s="81"/>
      <c r="C264" s="81"/>
      <c r="D264" s="81"/>
      <c r="E264" s="81"/>
      <c r="F264" s="81"/>
      <c r="G264" s="81"/>
      <c r="H264" s="81"/>
      <c r="I264" s="81"/>
      <c r="J264" s="81"/>
      <c r="K264" s="81"/>
      <c r="L264" s="81"/>
    </row>
    <row r="265" spans="1:12" ht="68.25" customHeight="1">
      <c r="A265" s="61" t="s">
        <v>210</v>
      </c>
      <c r="B265" s="81"/>
      <c r="C265" s="81"/>
      <c r="D265" s="81"/>
      <c r="E265" s="81"/>
      <c r="F265" s="81"/>
      <c r="G265" s="81"/>
      <c r="H265" s="81"/>
      <c r="I265" s="81"/>
      <c r="J265" s="81"/>
      <c r="K265" s="81"/>
      <c r="L265" s="81"/>
    </row>
    <row r="266" spans="1:12" ht="9" customHeight="1"/>
    <row r="267" spans="1:12" ht="41.45" customHeight="1">
      <c r="A267" s="59" t="s">
        <v>157</v>
      </c>
      <c r="B267" s="81"/>
      <c r="C267" s="81"/>
      <c r="D267" s="81"/>
      <c r="E267" s="81"/>
      <c r="F267" s="81"/>
      <c r="G267" s="81"/>
      <c r="H267" s="81"/>
      <c r="I267" s="81"/>
      <c r="J267" s="81"/>
      <c r="K267" s="81"/>
      <c r="L267" s="81"/>
    </row>
    <row r="268" spans="1:12" ht="36.6" customHeight="1">
      <c r="A268" s="2" t="s">
        <v>211</v>
      </c>
      <c r="C268" s="4" t="s">
        <v>28</v>
      </c>
      <c r="D268" s="4" t="s">
        <v>29</v>
      </c>
      <c r="E268" s="4" t="s">
        <v>159</v>
      </c>
    </row>
    <row r="269" spans="1:12">
      <c r="A269" s="2" t="s">
        <v>61</v>
      </c>
      <c r="C269" s="11">
        <f>'Industry Summary'!J18/'Industry Summary'!J22</f>
        <v>2.3982855870565531</v>
      </c>
      <c r="D269" s="11">
        <f>'Industry Summary'!L18/'Industry Summary'!L22</f>
        <v>2.225504490843345</v>
      </c>
      <c r="E269" s="11">
        <f>ABS(C269-C45)+ABS(D269-E45)</f>
        <v>0</v>
      </c>
    </row>
    <row r="270" spans="1:12">
      <c r="A270" s="2" t="s">
        <v>63</v>
      </c>
      <c r="C270" s="11">
        <f>('Industry Summary'!J18-'Industry Summary'!J13)/'Industry Summary'!J22</f>
        <v>1.8448864479738754</v>
      </c>
      <c r="D270" s="11">
        <f>('Industry Summary'!L18-'Industry Summary'!L13)/'Industry Summary'!L22</f>
        <v>1.7208095182549863</v>
      </c>
      <c r="E270" s="11">
        <f>ABS(C270-C46)+ABS(D270-E46)</f>
        <v>0</v>
      </c>
    </row>
    <row r="271" spans="1:12">
      <c r="A271" s="2" t="s">
        <v>65</v>
      </c>
      <c r="C271" s="11">
        <f>('Industry Summary'!J15+'Industry Summary'!J16)/'Industry Summary'!J22</f>
        <v>0.13767255454950275</v>
      </c>
      <c r="D271" s="11">
        <f>('Industry Summary'!L15+'Industry Summary'!L16)/'Industry Summary'!L22</f>
        <v>8.32555698122011E-2</v>
      </c>
      <c r="E271" s="11">
        <f>ABS(C271-C47)+ABS(D271-E47)</f>
        <v>0</v>
      </c>
    </row>
    <row r="272" spans="1:12">
      <c r="A272" s="2" t="s">
        <v>73</v>
      </c>
      <c r="C272" s="12">
        <f>'Industry Summary'!J30/'Industry Summary'!J26</f>
        <v>0.11270053789960773</v>
      </c>
      <c r="D272" s="12">
        <f>'Industry Summary'!L30/'Industry Summary'!L26</f>
        <v>0.10930592728475626</v>
      </c>
      <c r="E272" s="12">
        <f>ABS(C272-C58)+ABS(D272-E58)</f>
        <v>0</v>
      </c>
    </row>
    <row r="273" spans="1:12">
      <c r="A273" s="2" t="s">
        <v>75</v>
      </c>
      <c r="C273" s="12">
        <f>'Industry Summary'!J30/AVERAGE('Industry Summary'!J39,'Industry Summary'!J25)</f>
        <v>0.1115935062719985</v>
      </c>
      <c r="D273" s="12">
        <f>'Industry Summary'!L30/AVERAGE('Industry Summary'!J25,'Industry Summary'!L25)</f>
        <v>9.9320285548382681E-2</v>
      </c>
      <c r="E273" s="12">
        <f>ABS(C273-C59)+ABS(D273-E59)</f>
        <v>0</v>
      </c>
    </row>
    <row r="274" spans="1:12">
      <c r="A274" s="2" t="s">
        <v>77</v>
      </c>
      <c r="C274" s="12">
        <f>'Industry Summary'!J30/AVERAGE('Industry Summary'!J38,'Industry Summary'!J24)</f>
        <v>0.14663739487879543</v>
      </c>
      <c r="D274" s="12">
        <f>'Industry Summary'!L30/AVERAGE('Industry Summary'!J24,'Industry Summary'!L24)</f>
        <v>0.13036597339598024</v>
      </c>
      <c r="E274" s="12">
        <f>ABS(C274-C60)+ABS(D274-E60)</f>
        <v>0</v>
      </c>
    </row>
    <row r="275" spans="1:12">
      <c r="A275" s="2" t="s">
        <v>68</v>
      </c>
      <c r="C275" s="11">
        <f>'Industry Summary'!J23/'Industry Summary'!J24</f>
        <v>0</v>
      </c>
      <c r="D275" s="11">
        <f>'Industry Summary'!L23/'Industry Summary'!L24</f>
        <v>0</v>
      </c>
      <c r="E275" s="11">
        <f>ABS(C275-C52)+ABS(D275-E52)</f>
        <v>0</v>
      </c>
    </row>
    <row r="276" spans="1:12">
      <c r="A276" s="2" t="s">
        <v>70</v>
      </c>
      <c r="C276" s="11">
        <f>('Industry Summary'!J23+'Industry Summary'!J33)/'Industry Summary'!J24</f>
        <v>1.8795199114622092E-2</v>
      </c>
      <c r="D276" s="11">
        <f>('Industry Summary'!L23+'Industry Summary'!L33)/'Industry Summary'!L24</f>
        <v>1.5545312301771896E-2</v>
      </c>
      <c r="E276" s="11">
        <f>ABS(C276-C53)+ABS(D276-E53)</f>
        <v>0</v>
      </c>
    </row>
    <row r="277" spans="1:12">
      <c r="A277" s="2" t="s">
        <v>80</v>
      </c>
      <c r="C277" s="11">
        <f>'Industry Summary'!J27/AVERAGE('Industry Summary'!J37,'Industry Summary'!J13)</f>
        <v>4.1140392604572984</v>
      </c>
      <c r="D277" s="11">
        <f>'Industry Summary'!L27/AVERAGE('Industry Summary'!J13,'Industry Summary'!L13)</f>
        <v>4.1104903786468032</v>
      </c>
      <c r="E277" s="11">
        <f>ABS(C277-C65)+ABS(D277-E65)</f>
        <v>0</v>
      </c>
    </row>
    <row r="278" spans="1:12">
      <c r="A278" s="10" t="s">
        <v>101</v>
      </c>
      <c r="C278" s="11">
        <f>'Industry Summary'!J26/AVERAGE('Industry Summary'!J39,'Industry Summary'!J25)</f>
        <v>0.99017722853643031</v>
      </c>
      <c r="D278" s="11">
        <f>'Industry Summary'!L26/AVERAGE('Industry Summary'!J25,'Industry Summary'!L25)</f>
        <v>0.90864501144242915</v>
      </c>
      <c r="E278" s="11">
        <f>ABS(C278-C95)+ABS(D278-E95)</f>
        <v>0</v>
      </c>
    </row>
    <row r="279" spans="1:12">
      <c r="A279" s="10" t="s">
        <v>103</v>
      </c>
      <c r="C279" s="11">
        <f>AVERAGE('Industry Summary'!J39,'Industry Summary'!J25)/AVERAGE('Industry Summary'!J38,'Industry Summary'!J24)</f>
        <v>1.3140316114934216</v>
      </c>
      <c r="D279" s="11">
        <f>AVERAGE('Industry Summary'!J25,'Industry Summary'!L25)/AVERAGE('Industry Summary'!J24,'Industry Summary'!L24)</f>
        <v>1.31258154037902</v>
      </c>
      <c r="E279" s="11">
        <f>ABS(C279-C96)+ABS(D279-E96)</f>
        <v>0</v>
      </c>
    </row>
    <row r="280" spans="1:12">
      <c r="A280" s="2" t="s">
        <v>93</v>
      </c>
      <c r="C280" s="12">
        <f>('Industry Summary'!J26-'Industry Summary'!J40)/'Industry Summary'!J40</f>
        <v>1.7794813764085361E-2</v>
      </c>
      <c r="D280" s="12">
        <f>('Industry Summary'!L26-'Industry Summary'!J26)/'Industry Summary'!J26</f>
        <v>4.1442541830111285E-2</v>
      </c>
      <c r="E280" s="12">
        <f>ABS(C280-C86)+ABS(D280-E86)</f>
        <v>0</v>
      </c>
    </row>
    <row r="281" spans="1:12">
      <c r="A281" s="2" t="s">
        <v>95</v>
      </c>
      <c r="C281" s="12">
        <f>('Industry Summary'!J26-('Industry Summary'!J34-'Industry Summary'!J35))/'Industry Summary'!J26</f>
        <v>0.13915705572389386</v>
      </c>
      <c r="D281" s="12">
        <f>('Industry Summary'!L26-('Industry Summary'!L34-'Industry Summary'!L35))/'Industry Summary'!L26</f>
        <v>0.14382161008029348</v>
      </c>
      <c r="E281" s="12">
        <f>ABS(C281-C87)+ABS(D281-E87)</f>
        <v>0</v>
      </c>
    </row>
    <row r="282" spans="1:12">
      <c r="A282" s="10" t="s">
        <v>160</v>
      </c>
      <c r="C282" s="12">
        <f>'Industry Summary'!J30/'Industry Summary'!J28</f>
        <v>0.74879051136659214</v>
      </c>
      <c r="D282" s="12">
        <f>'Industry Summary'!L30/'Industry Summary'!L28</f>
        <v>0.74455881599836116</v>
      </c>
      <c r="E282" s="12">
        <f>ABS(C282-C106)+ABS(D282-E106)</f>
        <v>0</v>
      </c>
    </row>
    <row r="283" spans="1:12">
      <c r="A283" s="10" t="s">
        <v>161</v>
      </c>
      <c r="C283" s="12">
        <f>'Industry Summary'!J28/('Industry Summary'!J28+'Industry Summary'!J35)</f>
        <v>0.98483528869306824</v>
      </c>
      <c r="D283" s="12">
        <f>'Industry Summary'!L28/('Industry Summary'!L28+'Industry Summary'!L35)</f>
        <v>0.98790852979864419</v>
      </c>
      <c r="E283" s="12">
        <f>ABS(C283-C107)+ABS(D283-E107)</f>
        <v>0</v>
      </c>
    </row>
    <row r="284" spans="1:12">
      <c r="A284" s="10" t="s">
        <v>162</v>
      </c>
      <c r="C284" s="12">
        <f>('Industry Summary'!J28+'Industry Summary'!J35)/'Industry Summary'!J26</f>
        <v>0.15282769204268745</v>
      </c>
      <c r="D284" s="12">
        <f>('Industry Summary'!L28+'Industry Summary'!L35)/'Industry Summary'!L26</f>
        <v>0.14860313355186</v>
      </c>
      <c r="E284" s="12">
        <f>ABS(C284-C108)+ABS(D284-E108)</f>
        <v>0</v>
      </c>
    </row>
    <row r="286" spans="1:12" ht="37.700000000000003" customHeight="1">
      <c r="A286" s="55" t="s">
        <v>163</v>
      </c>
      <c r="B286" s="81"/>
      <c r="C286" s="81"/>
      <c r="D286" s="81"/>
      <c r="E286" s="81"/>
      <c r="F286" s="81"/>
      <c r="G286" s="81"/>
      <c r="H286" s="81"/>
      <c r="I286" s="81"/>
      <c r="J286" s="81"/>
      <c r="K286" s="81"/>
      <c r="L286" s="81"/>
    </row>
  </sheetData>
  <mergeCells count="61">
    <mergeCell ref="A174:L174"/>
    <mergeCell ref="A90:L90"/>
    <mergeCell ref="A55:L55"/>
    <mergeCell ref="A68:L68"/>
    <mergeCell ref="C76:D76"/>
    <mergeCell ref="A81:L81"/>
    <mergeCell ref="A100:L100"/>
    <mergeCell ref="A170:L170"/>
    <mergeCell ref="E43:F43"/>
    <mergeCell ref="E50:F50"/>
    <mergeCell ref="A172:L172"/>
    <mergeCell ref="C92:D92"/>
    <mergeCell ref="C43:D43"/>
    <mergeCell ref="A286:L286"/>
    <mergeCell ref="A75:L75"/>
    <mergeCell ref="A89:L89"/>
    <mergeCell ref="A264:L264"/>
    <mergeCell ref="E92:F92"/>
    <mergeCell ref="A267:L267"/>
    <mergeCell ref="A101:L101"/>
    <mergeCell ref="A259:L259"/>
    <mergeCell ref="A178:L188"/>
    <mergeCell ref="A218:L228"/>
    <mergeCell ref="A205:L215"/>
    <mergeCell ref="A262:L262"/>
    <mergeCell ref="A260:L260"/>
    <mergeCell ref="A171:L171"/>
    <mergeCell ref="A231:L257"/>
    <mergeCell ref="A265:L265"/>
    <mergeCell ref="C7:D7"/>
    <mergeCell ref="A191:L202"/>
    <mergeCell ref="A98:L98"/>
    <mergeCell ref="A49:L49"/>
    <mergeCell ref="A169:L169"/>
    <mergeCell ref="A31:L31"/>
    <mergeCell ref="A40:L40"/>
    <mergeCell ref="A173:L173"/>
    <mergeCell ref="A67:L67"/>
    <mergeCell ref="A176:L176"/>
    <mergeCell ref="A114:L114"/>
    <mergeCell ref="A39:L39"/>
    <mergeCell ref="A82:L82"/>
    <mergeCell ref="A42:L42"/>
    <mergeCell ref="A71:L71"/>
    <mergeCell ref="A62:L62"/>
    <mergeCell ref="A1:L1"/>
    <mergeCell ref="A103:L103"/>
    <mergeCell ref="A168:L168"/>
    <mergeCell ref="A6:L6"/>
    <mergeCell ref="A70:L70"/>
    <mergeCell ref="E56:F56"/>
    <mergeCell ref="A2:L2"/>
    <mergeCell ref="C63:D63"/>
    <mergeCell ref="A116:L116"/>
    <mergeCell ref="E63:F63"/>
    <mergeCell ref="A32:L32"/>
    <mergeCell ref="C50:D50"/>
    <mergeCell ref="C84:D84"/>
    <mergeCell ref="E84:F84"/>
    <mergeCell ref="C56:D56"/>
    <mergeCell ref="A4:L4"/>
  </mergeCells>
  <pageMargins left="0.4" right="0.4" top="0.5" bottom="0.5" header="0.25" footer="0.25"/>
  <pageSetup paperSize="9" fitToHeight="0" orientation="landscape" horizontalDpi="300" verticalDpi="300"/>
  <headerFooter>
    <oddHeader>&amp;L&amp;"Times New Roman,Bold"&amp;9 FAA Major Project - Indian Paints Industry&amp;R&amp;"Times New Roman,Regular"&amp;9 &amp;A</oddHeader>
    <oddFooter>&amp;L&amp;"Times New Roman,Regular"&amp;8 Standalone, ₹ Crore&amp;C&amp;"Times New Roman,Regular"&amp;8 Page &amp;P of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08"/>
  <sheetViews>
    <sheetView showGridLines="0" topLeftCell="A195" zoomScale="66" zoomScaleNormal="90" workbookViewId="0">
      <selection activeCell="Z198" sqref="Z198"/>
    </sheetView>
  </sheetViews>
  <sheetFormatPr defaultColWidth="8.5703125" defaultRowHeight="14.1"/>
  <cols>
    <col min="1" max="1" width="46" customWidth="1"/>
    <col min="2" max="2" width="13.42578125" customWidth="1"/>
    <col min="3" max="3" width="1.7109375" customWidth="1"/>
    <col min="4" max="4" width="13.42578125" customWidth="1"/>
    <col min="5" max="5" width="1.7109375" customWidth="1"/>
    <col min="6" max="6" width="13.42578125" customWidth="1"/>
    <col min="7" max="7" width="1.7109375" customWidth="1"/>
    <col min="8" max="8" width="13.42578125" customWidth="1"/>
    <col min="9" max="9" width="1.7109375" customWidth="1"/>
    <col min="10" max="10" width="13.42578125" customWidth="1"/>
    <col min="11" max="11" width="1.7109375" customWidth="1"/>
    <col min="12" max="12" width="13.42578125" customWidth="1"/>
    <col min="13" max="13" width="1.7109375" customWidth="1"/>
    <col min="14" max="14" width="13.42578125" customWidth="1"/>
    <col min="15" max="15" width="1.7109375" customWidth="1"/>
    <col min="16" max="16" width="13.42578125" customWidth="1"/>
    <col min="17" max="17" width="1.7109375" customWidth="1"/>
    <col min="18" max="18" width="13.42578125" customWidth="1"/>
    <col min="19" max="19" width="1.7109375" customWidth="1"/>
    <col min="20" max="20" width="13.42578125" customWidth="1"/>
    <col min="21" max="21" width="1.7109375" customWidth="1"/>
  </cols>
  <sheetData>
    <row r="1" spans="1:20" ht="33.950000000000003" customHeight="1">
      <c r="A1" s="72" t="s">
        <v>212</v>
      </c>
      <c r="B1" s="87"/>
      <c r="C1" s="87"/>
      <c r="D1" s="87"/>
      <c r="E1" s="87"/>
      <c r="F1" s="87"/>
      <c r="G1" s="87"/>
      <c r="H1" s="87"/>
      <c r="I1" s="87"/>
      <c r="J1" s="87"/>
      <c r="K1" s="87"/>
      <c r="L1" s="87"/>
      <c r="M1" s="87"/>
      <c r="N1" s="87"/>
      <c r="O1" s="87"/>
      <c r="P1" s="87"/>
      <c r="Q1" s="87"/>
      <c r="R1" s="87"/>
      <c r="S1" s="87"/>
      <c r="T1" s="87"/>
    </row>
    <row r="2" spans="1:20" ht="15" customHeight="1">
      <c r="A2" s="88" t="s">
        <v>213</v>
      </c>
      <c r="B2" s="87"/>
      <c r="C2" s="87"/>
      <c r="D2" s="87"/>
      <c r="E2" s="87"/>
      <c r="F2" s="87"/>
      <c r="G2" s="87"/>
      <c r="H2" s="87"/>
      <c r="I2" s="87"/>
      <c r="J2" s="87"/>
      <c r="K2" s="87"/>
      <c r="L2" s="87"/>
      <c r="M2" s="87"/>
      <c r="N2" s="87"/>
      <c r="O2" s="87"/>
      <c r="P2" s="87"/>
      <c r="Q2" s="87"/>
      <c r="R2" s="87"/>
      <c r="S2" s="87"/>
      <c r="T2" s="87"/>
    </row>
    <row r="3" spans="1:20" ht="34.15" customHeight="1">
      <c r="A3" s="75" t="s">
        <v>214</v>
      </c>
      <c r="B3" s="87"/>
      <c r="C3" s="87"/>
      <c r="D3" s="87"/>
      <c r="E3" s="87"/>
      <c r="F3" s="87"/>
      <c r="G3" s="87"/>
      <c r="H3" s="87"/>
      <c r="I3" s="87"/>
      <c r="J3" s="87"/>
      <c r="K3" s="87"/>
      <c r="L3" s="87"/>
      <c r="M3" s="87"/>
      <c r="N3" s="87"/>
      <c r="O3" s="87"/>
      <c r="P3" s="87"/>
      <c r="Q3" s="87"/>
      <c r="R3" s="87"/>
      <c r="S3" s="87"/>
      <c r="T3" s="87"/>
    </row>
    <row r="4" spans="1:20" ht="18.95" customHeight="1">
      <c r="A4" s="87"/>
      <c r="B4" s="87"/>
      <c r="C4" s="87"/>
      <c r="D4" s="87"/>
      <c r="E4" s="87"/>
      <c r="F4" s="87"/>
      <c r="G4" s="87"/>
      <c r="H4" s="87"/>
      <c r="I4" s="87"/>
      <c r="J4" s="87"/>
      <c r="K4" s="87"/>
      <c r="L4" s="87"/>
      <c r="M4" s="87"/>
      <c r="N4" s="87"/>
      <c r="O4" s="87"/>
      <c r="P4" s="87"/>
      <c r="Q4" s="87"/>
      <c r="R4" s="87"/>
      <c r="S4" s="87"/>
      <c r="T4" s="87"/>
    </row>
    <row r="5" spans="1:20" ht="6" customHeight="1"/>
    <row r="6" spans="1:20" ht="26.85" customHeight="1">
      <c r="A6" s="80" t="s">
        <v>215</v>
      </c>
      <c r="B6" s="89"/>
      <c r="C6" s="89"/>
      <c r="D6" s="89"/>
      <c r="E6" s="89"/>
      <c r="F6" s="89"/>
      <c r="G6" s="89"/>
      <c r="H6" s="89"/>
      <c r="I6" s="89"/>
      <c r="J6" s="89"/>
      <c r="K6" s="89"/>
      <c r="L6" s="89"/>
      <c r="M6" s="89"/>
      <c r="N6" s="89"/>
      <c r="O6" s="89"/>
      <c r="P6" s="89"/>
      <c r="Q6" s="89"/>
      <c r="R6" s="89"/>
      <c r="S6" s="89"/>
      <c r="T6" s="89"/>
    </row>
    <row r="7" spans="1:20" ht="37.700000000000003" customHeight="1">
      <c r="A7" s="75" t="s">
        <v>216</v>
      </c>
      <c r="B7" s="87"/>
      <c r="C7" s="87"/>
      <c r="D7" s="87"/>
      <c r="E7" s="87"/>
      <c r="F7" s="87"/>
      <c r="G7" s="87"/>
      <c r="H7" s="87"/>
      <c r="I7" s="87"/>
      <c r="J7" s="87"/>
      <c r="K7" s="87"/>
      <c r="L7" s="87"/>
      <c r="M7" s="87"/>
      <c r="N7" s="87"/>
      <c r="O7" s="87"/>
      <c r="P7" s="87"/>
      <c r="Q7" s="87"/>
      <c r="R7" s="87"/>
      <c r="S7" s="87"/>
      <c r="T7" s="87"/>
    </row>
    <row r="8" spans="1:20" ht="8.1" customHeight="1"/>
    <row r="9" spans="1:20" ht="22.5" customHeight="1">
      <c r="A9" s="79" t="s">
        <v>217</v>
      </c>
      <c r="B9" s="87"/>
      <c r="C9" s="87"/>
      <c r="D9" s="87"/>
      <c r="E9" s="87"/>
      <c r="F9" s="87"/>
      <c r="G9" s="87"/>
      <c r="H9" s="87"/>
      <c r="I9" s="87"/>
      <c r="J9" s="87"/>
      <c r="K9" s="87"/>
      <c r="L9" s="87"/>
      <c r="M9" s="87"/>
      <c r="N9" s="87"/>
      <c r="O9" s="87"/>
      <c r="P9" s="87"/>
      <c r="Q9" s="87"/>
      <c r="R9" s="87"/>
      <c r="S9" s="87"/>
      <c r="T9" s="87"/>
    </row>
    <row r="10" spans="1:20" ht="39" customHeight="1">
      <c r="A10" s="16" t="s">
        <v>218</v>
      </c>
      <c r="B10" s="76" t="s">
        <v>8</v>
      </c>
      <c r="C10" s="90"/>
      <c r="D10" s="91"/>
      <c r="F10" s="76" t="s">
        <v>10</v>
      </c>
      <c r="G10" s="90"/>
      <c r="H10" s="91"/>
      <c r="J10" s="76" t="s">
        <v>12</v>
      </c>
      <c r="K10" s="90"/>
      <c r="L10" s="91"/>
      <c r="N10" s="76" t="s">
        <v>219</v>
      </c>
      <c r="O10" s="90"/>
      <c r="P10" s="91"/>
      <c r="R10" s="76" t="s">
        <v>14</v>
      </c>
      <c r="S10" s="90"/>
      <c r="T10" s="91"/>
    </row>
    <row r="11" spans="1:20" ht="15.95" customHeight="1">
      <c r="A11" s="17"/>
      <c r="B11" s="18" t="s">
        <v>28</v>
      </c>
      <c r="C11" s="18"/>
      <c r="D11" s="18" t="s">
        <v>29</v>
      </c>
      <c r="F11" s="18" t="s">
        <v>28</v>
      </c>
      <c r="G11" s="18"/>
      <c r="H11" s="18" t="s">
        <v>29</v>
      </c>
      <c r="J11" s="18" t="s">
        <v>28</v>
      </c>
      <c r="K11" s="18"/>
      <c r="L11" s="18" t="s">
        <v>29</v>
      </c>
      <c r="N11" s="18" t="s">
        <v>28</v>
      </c>
      <c r="O11" s="18"/>
      <c r="P11" s="18" t="s">
        <v>29</v>
      </c>
      <c r="R11" s="18" t="s">
        <v>28</v>
      </c>
      <c r="S11" s="18"/>
      <c r="T11" s="19" t="s">
        <v>29</v>
      </c>
    </row>
    <row r="12" spans="1:20" ht="41.45" customHeight="1">
      <c r="A12" s="20" t="s">
        <v>220</v>
      </c>
      <c r="B12" s="77" t="s">
        <v>221</v>
      </c>
      <c r="C12" s="82"/>
      <c r="D12" s="83"/>
      <c r="F12" s="77" t="s">
        <v>222</v>
      </c>
      <c r="G12" s="82"/>
      <c r="H12" s="83"/>
      <c r="J12" s="77" t="s">
        <v>223</v>
      </c>
      <c r="K12" s="82"/>
      <c r="L12" s="83"/>
      <c r="N12" s="77" t="s">
        <v>224</v>
      </c>
      <c r="O12" s="82"/>
      <c r="P12" s="83"/>
      <c r="R12" s="77" t="s">
        <v>225</v>
      </c>
      <c r="S12" s="82"/>
      <c r="T12" s="83"/>
    </row>
    <row r="13" spans="1:20" ht="15.6" customHeight="1">
      <c r="A13" s="20" t="s">
        <v>30</v>
      </c>
      <c r="B13" s="21">
        <v>2206.6</v>
      </c>
      <c r="C13" s="21"/>
      <c r="D13" s="21">
        <v>2225.6</v>
      </c>
      <c r="F13" s="21">
        <v>5848.23</v>
      </c>
      <c r="G13" s="21"/>
      <c r="H13" s="21">
        <v>4824.74</v>
      </c>
      <c r="J13" s="21">
        <v>149.13</v>
      </c>
      <c r="K13" s="21"/>
      <c r="L13" s="21">
        <v>173.07</v>
      </c>
      <c r="N13" s="21">
        <v>604.70000000000005</v>
      </c>
      <c r="O13" s="21"/>
      <c r="P13" s="21">
        <v>571.1</v>
      </c>
      <c r="R13" s="21">
        <v>1609.71</v>
      </c>
      <c r="S13" s="21"/>
      <c r="T13" s="22">
        <v>1492.92</v>
      </c>
    </row>
    <row r="14" spans="1:20" ht="15.6" customHeight="1">
      <c r="A14" s="20" t="s">
        <v>31</v>
      </c>
      <c r="B14" s="21">
        <v>1124.3699999999999</v>
      </c>
      <c r="C14" s="21"/>
      <c r="D14" s="21">
        <v>1129.27</v>
      </c>
      <c r="F14" s="21">
        <v>3197.55</v>
      </c>
      <c r="G14" s="21"/>
      <c r="H14" s="21">
        <v>3227.71</v>
      </c>
      <c r="J14" s="21">
        <v>219.92</v>
      </c>
      <c r="K14" s="21"/>
      <c r="L14" s="21">
        <v>257.29000000000002</v>
      </c>
      <c r="N14" s="21">
        <v>584.9</v>
      </c>
      <c r="O14" s="21"/>
      <c r="P14" s="21">
        <v>602.9</v>
      </c>
      <c r="R14" s="21">
        <v>1274.7</v>
      </c>
      <c r="S14" s="21"/>
      <c r="T14" s="22">
        <v>1379.83</v>
      </c>
    </row>
    <row r="15" spans="1:20" ht="15.6" customHeight="1">
      <c r="A15" s="20" t="s">
        <v>32</v>
      </c>
      <c r="B15" s="21">
        <v>141.38999999999999</v>
      </c>
      <c r="C15" s="21"/>
      <c r="D15" s="21">
        <v>151.94</v>
      </c>
      <c r="F15" s="21">
        <v>176.19</v>
      </c>
      <c r="G15" s="21"/>
      <c r="H15" s="21">
        <v>395.38</v>
      </c>
      <c r="J15" s="21">
        <v>37.090000000000003</v>
      </c>
      <c r="K15" s="21"/>
      <c r="L15" s="21">
        <v>28.54</v>
      </c>
      <c r="N15" s="21">
        <v>247.2</v>
      </c>
      <c r="O15" s="21"/>
      <c r="P15" s="21">
        <v>203.1</v>
      </c>
      <c r="R15" s="21">
        <v>85.72</v>
      </c>
      <c r="S15" s="21"/>
      <c r="T15" s="22">
        <v>184.12</v>
      </c>
    </row>
    <row r="16" spans="1:20" ht="15.6" customHeight="1">
      <c r="A16" s="20" t="s">
        <v>33</v>
      </c>
      <c r="B16" s="21">
        <v>224.46</v>
      </c>
      <c r="C16" s="21"/>
      <c r="D16" s="21">
        <v>55.01</v>
      </c>
      <c r="F16" s="21">
        <v>26.09</v>
      </c>
      <c r="G16" s="21"/>
      <c r="H16" s="21">
        <v>50.96</v>
      </c>
      <c r="J16" s="21">
        <v>0.01</v>
      </c>
      <c r="K16" s="21"/>
      <c r="L16" s="21">
        <v>0.01</v>
      </c>
      <c r="N16" s="21">
        <v>52.3</v>
      </c>
      <c r="O16" s="21"/>
      <c r="P16" s="21">
        <v>53.9</v>
      </c>
      <c r="R16" s="21">
        <v>174.52</v>
      </c>
      <c r="S16" s="21"/>
      <c r="T16" s="22">
        <v>7.97</v>
      </c>
    </row>
    <row r="17" spans="1:20" ht="15.6" customHeight="1">
      <c r="A17" s="20" t="s">
        <v>226</v>
      </c>
      <c r="B17" s="21">
        <v>436.98</v>
      </c>
      <c r="C17" s="21"/>
      <c r="D17" s="21">
        <v>1118.69</v>
      </c>
      <c r="F17" s="21">
        <v>5039.88</v>
      </c>
      <c r="G17" s="21"/>
      <c r="H17" s="21">
        <v>8757.44</v>
      </c>
      <c r="J17" s="21">
        <v>240.14</v>
      </c>
      <c r="K17" s="21"/>
      <c r="L17" s="21">
        <v>304.26</v>
      </c>
      <c r="N17" s="21">
        <v>511.3</v>
      </c>
      <c r="O17" s="21"/>
      <c r="P17" s="21">
        <v>289.39999999999998</v>
      </c>
      <c r="R17" s="21">
        <v>2029.11</v>
      </c>
      <c r="S17" s="21"/>
      <c r="T17" s="22">
        <v>2549.88</v>
      </c>
    </row>
    <row r="18" spans="1:20" ht="15.6" customHeight="1">
      <c r="A18" s="23" t="s">
        <v>35</v>
      </c>
      <c r="B18" s="24">
        <v>4133.8</v>
      </c>
      <c r="C18" s="24"/>
      <c r="D18" s="24">
        <v>4680.51</v>
      </c>
      <c r="F18" s="24">
        <v>14287.94</v>
      </c>
      <c r="G18" s="24"/>
      <c r="H18" s="24">
        <v>17256.23</v>
      </c>
      <c r="J18" s="24">
        <v>646.29</v>
      </c>
      <c r="K18" s="24"/>
      <c r="L18" s="24">
        <v>763.17</v>
      </c>
      <c r="N18" s="24">
        <v>2000.4</v>
      </c>
      <c r="O18" s="24"/>
      <c r="P18" s="24">
        <v>1720.4</v>
      </c>
      <c r="R18" s="24">
        <v>5173.76</v>
      </c>
      <c r="S18" s="24"/>
      <c r="T18" s="25">
        <v>5614.72</v>
      </c>
    </row>
    <row r="19" spans="1:20" ht="15.6" customHeight="1">
      <c r="A19" s="20" t="s">
        <v>36</v>
      </c>
      <c r="B19" s="21">
        <v>1569.34</v>
      </c>
      <c r="C19" s="21"/>
      <c r="D19" s="21">
        <v>1522.26</v>
      </c>
      <c r="F19" s="21">
        <v>3123.69</v>
      </c>
      <c r="G19" s="21"/>
      <c r="H19" s="21">
        <v>3114.48</v>
      </c>
      <c r="J19" s="21">
        <v>165.29</v>
      </c>
      <c r="K19" s="21"/>
      <c r="L19" s="21">
        <v>199.44</v>
      </c>
      <c r="N19" s="21">
        <v>956.6</v>
      </c>
      <c r="O19" s="21"/>
      <c r="P19" s="21">
        <v>753.6</v>
      </c>
      <c r="R19" s="21">
        <v>1023.65</v>
      </c>
      <c r="S19" s="21"/>
      <c r="T19" s="22">
        <v>1075.42</v>
      </c>
    </row>
    <row r="20" spans="1:20" ht="15.6" customHeight="1">
      <c r="A20" s="20" t="s">
        <v>37</v>
      </c>
      <c r="B20" s="21">
        <v>0.39</v>
      </c>
      <c r="C20" s="21"/>
      <c r="D20" s="21">
        <v>0</v>
      </c>
      <c r="F20" s="21">
        <v>2.15</v>
      </c>
      <c r="G20" s="21"/>
      <c r="H20" s="21">
        <v>340.73</v>
      </c>
      <c r="J20" s="21">
        <v>0</v>
      </c>
      <c r="K20" s="21"/>
      <c r="L20" s="21">
        <v>0</v>
      </c>
      <c r="N20" s="21">
        <v>0</v>
      </c>
      <c r="O20" s="21"/>
      <c r="P20" s="21">
        <v>0</v>
      </c>
      <c r="R20" s="21">
        <v>0</v>
      </c>
      <c r="S20" s="21"/>
      <c r="T20" s="22">
        <v>0</v>
      </c>
    </row>
    <row r="21" spans="1:20" ht="15.6" customHeight="1">
      <c r="A21" s="20" t="s">
        <v>227</v>
      </c>
      <c r="B21" s="21">
        <v>416.03</v>
      </c>
      <c r="C21" s="21"/>
      <c r="D21" s="21">
        <v>619.85</v>
      </c>
      <c r="F21" s="21">
        <v>3090.36</v>
      </c>
      <c r="G21" s="21"/>
      <c r="H21" s="21">
        <v>3550.67</v>
      </c>
      <c r="J21" s="21">
        <v>104.19</v>
      </c>
      <c r="K21" s="21"/>
      <c r="L21" s="21">
        <v>143.47999999999999</v>
      </c>
      <c r="N21" s="21">
        <v>493.6</v>
      </c>
      <c r="O21" s="21"/>
      <c r="P21" s="21">
        <v>380.7</v>
      </c>
      <c r="R21" s="21">
        <v>263.68</v>
      </c>
      <c r="S21" s="21"/>
      <c r="T21" s="22">
        <v>422.77</v>
      </c>
    </row>
    <row r="22" spans="1:20" ht="15.6" customHeight="1">
      <c r="A22" s="23" t="s">
        <v>39</v>
      </c>
      <c r="B22" s="24">
        <v>1985.76</v>
      </c>
      <c r="C22" s="24"/>
      <c r="D22" s="24">
        <v>2142.11</v>
      </c>
      <c r="F22" s="24">
        <v>6216.2</v>
      </c>
      <c r="G22" s="24"/>
      <c r="H22" s="24">
        <v>7005.88</v>
      </c>
      <c r="J22" s="24">
        <v>269.48</v>
      </c>
      <c r="K22" s="24"/>
      <c r="L22" s="24">
        <v>342.92</v>
      </c>
      <c r="N22" s="24">
        <v>1450.2</v>
      </c>
      <c r="O22" s="24"/>
      <c r="P22" s="24">
        <v>1134.3</v>
      </c>
      <c r="R22" s="24">
        <v>1287.33</v>
      </c>
      <c r="S22" s="24"/>
      <c r="T22" s="25">
        <v>1498.19</v>
      </c>
    </row>
    <row r="23" spans="1:20" ht="15.6" customHeight="1">
      <c r="A23" s="20" t="s">
        <v>228</v>
      </c>
      <c r="B23" s="21">
        <v>0.39</v>
      </c>
      <c r="C23" s="21"/>
      <c r="D23" s="21">
        <v>0</v>
      </c>
      <c r="F23" s="21">
        <v>39.4</v>
      </c>
      <c r="G23" s="21"/>
      <c r="H23" s="21">
        <v>1189.67</v>
      </c>
      <c r="J23" s="21">
        <v>0</v>
      </c>
      <c r="K23" s="21"/>
      <c r="L23" s="21">
        <v>0</v>
      </c>
      <c r="N23" s="21">
        <v>0</v>
      </c>
      <c r="O23" s="21"/>
      <c r="P23" s="21">
        <v>0</v>
      </c>
      <c r="R23" s="21">
        <v>0</v>
      </c>
      <c r="S23" s="21"/>
      <c r="T23" s="22">
        <v>0</v>
      </c>
    </row>
    <row r="24" spans="1:20" ht="15.6" customHeight="1">
      <c r="A24" s="20" t="s">
        <v>41</v>
      </c>
      <c r="B24" s="21">
        <v>5681.06</v>
      </c>
      <c r="C24" s="21"/>
      <c r="D24" s="21">
        <v>6342.9</v>
      </c>
      <c r="F24" s="21">
        <v>18983.48</v>
      </c>
      <c r="G24" s="21"/>
      <c r="H24" s="21">
        <v>20781.560000000001</v>
      </c>
      <c r="J24" s="21">
        <v>1048.1400000000001</v>
      </c>
      <c r="K24" s="21"/>
      <c r="L24" s="21">
        <v>1182.3499999999999</v>
      </c>
      <c r="N24" s="21">
        <v>1328.7</v>
      </c>
      <c r="O24" s="21"/>
      <c r="P24" s="21">
        <v>2394.1999999999998</v>
      </c>
      <c r="R24" s="21">
        <v>6366.23</v>
      </c>
      <c r="S24" s="21"/>
      <c r="T24" s="22">
        <v>6695.77</v>
      </c>
    </row>
    <row r="25" spans="1:20" ht="15.6" customHeight="1">
      <c r="A25" s="23" t="s">
        <v>42</v>
      </c>
      <c r="B25" s="24">
        <v>8176.51</v>
      </c>
      <c r="C25" s="24"/>
      <c r="D25" s="24">
        <v>8946.2000000000007</v>
      </c>
      <c r="F25" s="24">
        <v>26653.11</v>
      </c>
      <c r="G25" s="24"/>
      <c r="H25" s="24">
        <v>30084.26</v>
      </c>
      <c r="J25" s="24">
        <v>1357.77</v>
      </c>
      <c r="K25" s="24"/>
      <c r="L25" s="24">
        <v>1569.93</v>
      </c>
      <c r="N25" s="24">
        <v>2901.6</v>
      </c>
      <c r="O25" s="24"/>
      <c r="P25" s="24">
        <v>3728.4</v>
      </c>
      <c r="R25" s="24">
        <v>7969.24</v>
      </c>
      <c r="S25" s="24"/>
      <c r="T25" s="25">
        <v>8538.59</v>
      </c>
    </row>
    <row r="26" spans="1:20" ht="15.6" customHeight="1">
      <c r="A26" s="20" t="s">
        <v>43</v>
      </c>
      <c r="B26" s="21">
        <v>10169.219999999999</v>
      </c>
      <c r="C26" s="21"/>
      <c r="D26" s="21">
        <v>10420.1</v>
      </c>
      <c r="F26" s="21">
        <v>29552.65</v>
      </c>
      <c r="G26" s="21"/>
      <c r="H26" s="21">
        <v>30769.48</v>
      </c>
      <c r="J26" s="21">
        <v>1277.19</v>
      </c>
      <c r="K26" s="21"/>
      <c r="L26" s="21">
        <v>1330.12</v>
      </c>
      <c r="N26" s="21">
        <v>4091.2</v>
      </c>
      <c r="O26" s="21"/>
      <c r="P26" s="21">
        <v>3599.2</v>
      </c>
      <c r="R26" s="21">
        <v>7496.71</v>
      </c>
      <c r="S26" s="21"/>
      <c r="T26" s="22">
        <v>7739.23</v>
      </c>
    </row>
    <row r="27" spans="1:20" ht="15.6" customHeight="1">
      <c r="A27" s="20" t="s">
        <v>44</v>
      </c>
      <c r="B27" s="21">
        <v>5252.79</v>
      </c>
      <c r="C27" s="21"/>
      <c r="D27" s="21">
        <v>5222.8</v>
      </c>
      <c r="F27" s="21">
        <v>13238.32</v>
      </c>
      <c r="G27" s="21"/>
      <c r="H27" s="21">
        <v>12670.79</v>
      </c>
      <c r="J27" s="21">
        <v>648.64</v>
      </c>
      <c r="K27" s="21"/>
      <c r="L27" s="21">
        <v>662.2</v>
      </c>
      <c r="N27" s="21">
        <v>2162.5</v>
      </c>
      <c r="O27" s="21"/>
      <c r="P27" s="21">
        <v>1868.2</v>
      </c>
      <c r="R27" s="21">
        <v>4357.87</v>
      </c>
      <c r="S27" s="21"/>
      <c r="T27" s="22">
        <v>4382.2</v>
      </c>
    </row>
    <row r="28" spans="1:20" ht="15.6" customHeight="1">
      <c r="A28" s="20" t="s">
        <v>45</v>
      </c>
      <c r="B28" s="21">
        <v>1430.74</v>
      </c>
      <c r="C28" s="21"/>
      <c r="D28" s="21">
        <v>1438.22</v>
      </c>
      <c r="F28" s="21">
        <v>4897.18</v>
      </c>
      <c r="G28" s="21"/>
      <c r="H28" s="21">
        <v>5733.6</v>
      </c>
      <c r="J28" s="21">
        <v>192.23</v>
      </c>
      <c r="K28" s="21"/>
      <c r="L28" s="21">
        <v>195.27</v>
      </c>
      <c r="N28" s="21">
        <v>569.70000000000005</v>
      </c>
      <c r="O28" s="21"/>
      <c r="P28" s="21">
        <v>2299.6999999999998</v>
      </c>
      <c r="R28" s="21">
        <v>1386.61</v>
      </c>
      <c r="S28" s="21"/>
      <c r="T28" s="22">
        <v>838.21</v>
      </c>
    </row>
    <row r="29" spans="1:20" ht="15.6" customHeight="1">
      <c r="A29" s="20" t="s">
        <v>46</v>
      </c>
      <c r="B29" s="21">
        <v>353.24</v>
      </c>
      <c r="C29" s="21"/>
      <c r="D29" s="21">
        <v>342.56</v>
      </c>
      <c r="F29" s="21">
        <v>1312.3</v>
      </c>
      <c r="G29" s="21"/>
      <c r="H29" s="21">
        <v>1489.43</v>
      </c>
      <c r="J29" s="21">
        <v>48.29</v>
      </c>
      <c r="K29" s="21"/>
      <c r="L29" s="21">
        <v>49.88</v>
      </c>
      <c r="N29" s="21">
        <v>141.1</v>
      </c>
      <c r="O29" s="21"/>
      <c r="P29" s="21">
        <v>382</v>
      </c>
      <c r="R29" s="21">
        <v>365.37</v>
      </c>
      <c r="S29" s="21"/>
      <c r="T29" s="22">
        <v>218.36</v>
      </c>
    </row>
    <row r="30" spans="1:20" ht="15.6" customHeight="1">
      <c r="A30" s="23" t="s">
        <v>47</v>
      </c>
      <c r="B30" s="24">
        <v>1077.5</v>
      </c>
      <c r="C30" s="24"/>
      <c r="D30" s="24">
        <v>1095.6600000000001</v>
      </c>
      <c r="F30" s="24">
        <v>3584.88</v>
      </c>
      <c r="G30" s="24"/>
      <c r="H30" s="24">
        <v>4244.17</v>
      </c>
      <c r="J30" s="24">
        <v>143.94</v>
      </c>
      <c r="K30" s="24"/>
      <c r="L30" s="24">
        <v>145.38999999999999</v>
      </c>
      <c r="N30" s="24">
        <v>428.6</v>
      </c>
      <c r="O30" s="24"/>
      <c r="P30" s="24">
        <v>1917.7</v>
      </c>
      <c r="R30" s="24">
        <v>1021.24</v>
      </c>
      <c r="S30" s="24"/>
      <c r="T30" s="25">
        <v>619.85</v>
      </c>
    </row>
    <row r="31" spans="1:20" ht="15.6" customHeight="1">
      <c r="A31" s="20" t="s">
        <v>229</v>
      </c>
      <c r="B31" s="21">
        <v>0</v>
      </c>
      <c r="C31" s="21"/>
      <c r="D31" s="21">
        <v>-49.99</v>
      </c>
      <c r="F31" s="21">
        <v>-379.63</v>
      </c>
      <c r="G31" s="21"/>
      <c r="H31" s="21">
        <v>-166.53</v>
      </c>
      <c r="J31" s="21">
        <v>0</v>
      </c>
      <c r="K31" s="21"/>
      <c r="L31" s="21">
        <v>-5.85</v>
      </c>
      <c r="N31" s="21">
        <v>0</v>
      </c>
      <c r="O31" s="21"/>
      <c r="P31" s="21">
        <v>1846.3</v>
      </c>
      <c r="R31" s="21">
        <v>479.19</v>
      </c>
      <c r="S31" s="21"/>
      <c r="T31" s="22">
        <v>-60.7</v>
      </c>
    </row>
    <row r="32" spans="1:20" ht="15.6" customHeight="1">
      <c r="A32" s="23" t="s">
        <v>49</v>
      </c>
      <c r="B32" s="24">
        <v>1430.74</v>
      </c>
      <c r="C32" s="24"/>
      <c r="D32" s="24">
        <v>1488.21</v>
      </c>
      <c r="F32" s="24">
        <v>5276.81</v>
      </c>
      <c r="G32" s="24"/>
      <c r="H32" s="24">
        <v>5900.13</v>
      </c>
      <c r="J32" s="24">
        <v>192.23</v>
      </c>
      <c r="K32" s="24"/>
      <c r="L32" s="24">
        <v>201.12</v>
      </c>
      <c r="N32" s="24">
        <v>569.70000000000005</v>
      </c>
      <c r="O32" s="24"/>
      <c r="P32" s="24">
        <v>453.4</v>
      </c>
      <c r="R32" s="24">
        <v>907.42</v>
      </c>
      <c r="S32" s="24"/>
      <c r="T32" s="25">
        <v>898.91</v>
      </c>
    </row>
    <row r="33" spans="1:20" ht="15.6" customHeight="1">
      <c r="A33" s="20" t="s">
        <v>230</v>
      </c>
      <c r="B33" s="21">
        <v>492.1</v>
      </c>
      <c r="C33" s="21"/>
      <c r="D33" s="21">
        <v>458.74</v>
      </c>
      <c r="F33" s="21">
        <v>1159.42</v>
      </c>
      <c r="G33" s="21"/>
      <c r="H33" s="21">
        <v>1179.29</v>
      </c>
      <c r="J33" s="21">
        <v>19.7</v>
      </c>
      <c r="K33" s="21"/>
      <c r="L33" s="21">
        <v>18.38</v>
      </c>
      <c r="N33" s="21">
        <v>62.1</v>
      </c>
      <c r="O33" s="21"/>
      <c r="P33" s="21">
        <v>79.099999999999994</v>
      </c>
      <c r="R33" s="21">
        <v>171.2</v>
      </c>
      <c r="S33" s="21"/>
      <c r="T33" s="22">
        <v>217.2</v>
      </c>
    </row>
    <row r="34" spans="1:20" ht="15.6" customHeight="1">
      <c r="A34" s="20" t="s">
        <v>231</v>
      </c>
      <c r="B34" s="21">
        <v>8860.69</v>
      </c>
      <c r="C34" s="21"/>
      <c r="D34" s="21">
        <v>9124.76</v>
      </c>
      <c r="F34" s="21">
        <v>25045.99</v>
      </c>
      <c r="G34" s="21"/>
      <c r="H34" s="21">
        <v>25802.01</v>
      </c>
      <c r="J34" s="21">
        <v>1102.42</v>
      </c>
      <c r="K34" s="21"/>
      <c r="L34" s="21">
        <v>1141.21</v>
      </c>
      <c r="N34" s="21">
        <v>3549.1</v>
      </c>
      <c r="O34" s="21"/>
      <c r="P34" s="21">
        <v>3179.1</v>
      </c>
      <c r="R34" s="21">
        <v>6731.35</v>
      </c>
      <c r="S34" s="21"/>
      <c r="T34" s="22">
        <v>6992.78</v>
      </c>
    </row>
    <row r="35" spans="1:20" ht="15.6" customHeight="1">
      <c r="A35" s="20" t="s">
        <v>90</v>
      </c>
      <c r="B35" s="21">
        <v>47.86</v>
      </c>
      <c r="C35" s="21"/>
      <c r="D35" s="21">
        <v>45.6</v>
      </c>
      <c r="F35" s="21">
        <v>143.77000000000001</v>
      </c>
      <c r="G35" s="21"/>
      <c r="H35" s="21">
        <v>127.35</v>
      </c>
      <c r="J35" s="21">
        <v>2.96</v>
      </c>
      <c r="K35" s="21"/>
      <c r="L35" s="21">
        <v>2.39</v>
      </c>
      <c r="N35" s="21">
        <v>9.8000000000000007</v>
      </c>
      <c r="O35" s="21"/>
      <c r="P35" s="21">
        <v>12.1</v>
      </c>
      <c r="R35" s="21">
        <v>15.09</v>
      </c>
      <c r="S35" s="21"/>
      <c r="T35" s="22">
        <v>18.41</v>
      </c>
    </row>
    <row r="36" spans="1:20" ht="21.95" customHeight="1">
      <c r="A36" s="26" t="s">
        <v>232</v>
      </c>
      <c r="B36" s="27" t="s">
        <v>233</v>
      </c>
      <c r="C36" s="27"/>
      <c r="D36" s="27"/>
      <c r="F36" s="27" t="s">
        <v>233</v>
      </c>
      <c r="G36" s="27"/>
      <c r="H36" s="27"/>
      <c r="J36" s="27" t="s">
        <v>233</v>
      </c>
      <c r="K36" s="27"/>
      <c r="L36" s="27"/>
      <c r="N36" s="27" t="s">
        <v>233</v>
      </c>
      <c r="O36" s="27"/>
      <c r="P36" s="27"/>
      <c r="R36" s="27" t="s">
        <v>233</v>
      </c>
      <c r="S36" s="27"/>
      <c r="T36" s="28"/>
    </row>
    <row r="37" spans="1:20">
      <c r="A37" s="20" t="s">
        <v>30</v>
      </c>
      <c r="B37" s="21">
        <v>2019.43</v>
      </c>
      <c r="C37" s="21"/>
      <c r="D37" s="29"/>
      <c r="F37" s="21">
        <v>5155.59</v>
      </c>
      <c r="G37" s="21"/>
      <c r="H37" s="29"/>
      <c r="J37" s="21">
        <v>166.2</v>
      </c>
      <c r="K37" s="21"/>
      <c r="L37" s="29"/>
      <c r="N37" s="21">
        <v>611.5</v>
      </c>
      <c r="O37" s="21"/>
      <c r="P37" s="29"/>
      <c r="R37" s="21">
        <v>1616.04</v>
      </c>
      <c r="S37" s="21"/>
      <c r="T37" s="30"/>
    </row>
    <row r="38" spans="1:20">
      <c r="A38" s="20" t="s">
        <v>41</v>
      </c>
      <c r="B38" s="21">
        <v>5005.24</v>
      </c>
      <c r="C38" s="21"/>
      <c r="D38" s="29"/>
      <c r="F38" s="21">
        <v>18288.66</v>
      </c>
      <c r="G38" s="21"/>
      <c r="H38" s="29"/>
      <c r="J38" s="21">
        <v>915.07</v>
      </c>
      <c r="K38" s="21"/>
      <c r="L38" s="29"/>
      <c r="N38" s="21">
        <v>1329.2</v>
      </c>
      <c r="O38" s="21"/>
      <c r="P38" s="29"/>
      <c r="R38" s="21">
        <v>5653.12</v>
      </c>
      <c r="S38" s="21"/>
      <c r="T38" s="30"/>
    </row>
    <row r="39" spans="1:20">
      <c r="A39" s="20" t="s">
        <v>42</v>
      </c>
      <c r="B39" s="21">
        <v>7581.66</v>
      </c>
      <c r="C39" s="21"/>
      <c r="D39" s="29"/>
      <c r="F39" s="21">
        <v>26035.64</v>
      </c>
      <c r="G39" s="21"/>
      <c r="H39" s="29"/>
      <c r="J39" s="21">
        <v>1221.95</v>
      </c>
      <c r="K39" s="21"/>
      <c r="L39" s="29"/>
      <c r="N39" s="21">
        <v>2903</v>
      </c>
      <c r="O39" s="21"/>
      <c r="P39" s="29"/>
      <c r="R39" s="21">
        <v>7224.8</v>
      </c>
      <c r="S39" s="21"/>
      <c r="T39" s="30"/>
    </row>
    <row r="40" spans="1:20">
      <c r="A40" s="31" t="s">
        <v>234</v>
      </c>
      <c r="B40" s="32">
        <v>10002.93</v>
      </c>
      <c r="C40" s="32"/>
      <c r="D40" s="33"/>
      <c r="F40" s="32">
        <v>31226.98</v>
      </c>
      <c r="G40" s="32"/>
      <c r="H40" s="33"/>
      <c r="J40" s="32">
        <v>1254.8599999999999</v>
      </c>
      <c r="K40" s="32"/>
      <c r="L40" s="33"/>
      <c r="N40" s="32">
        <v>3961.6</v>
      </c>
      <c r="O40" s="32"/>
      <c r="P40" s="33"/>
      <c r="R40" s="32">
        <v>7393.3</v>
      </c>
      <c r="S40" s="32"/>
      <c r="T40" s="34"/>
    </row>
    <row r="41" spans="1:20" ht="8.1" customHeight="1"/>
    <row r="42" spans="1:20" ht="83.45" customHeight="1">
      <c r="A42" s="75" t="s">
        <v>235</v>
      </c>
      <c r="B42" s="87"/>
      <c r="C42" s="87"/>
      <c r="D42" s="87"/>
      <c r="E42" s="87"/>
      <c r="F42" s="87"/>
      <c r="G42" s="87"/>
      <c r="H42" s="87"/>
      <c r="I42" s="87"/>
      <c r="J42" s="87"/>
      <c r="K42" s="87"/>
      <c r="L42" s="87"/>
      <c r="M42" s="87"/>
      <c r="N42" s="87"/>
      <c r="O42" s="87"/>
      <c r="P42" s="87"/>
      <c r="Q42" s="87"/>
      <c r="R42" s="87"/>
      <c r="S42" s="87"/>
      <c r="T42" s="87"/>
    </row>
    <row r="43" spans="1:20" ht="23.85" customHeight="1">
      <c r="A43" s="71" t="s">
        <v>236</v>
      </c>
      <c r="B43" s="89"/>
      <c r="C43" s="89"/>
      <c r="D43" s="89"/>
      <c r="E43" s="89"/>
      <c r="F43" s="89"/>
      <c r="G43" s="89"/>
      <c r="H43" s="89"/>
      <c r="I43" s="89"/>
      <c r="J43" s="89"/>
      <c r="K43" s="89"/>
      <c r="L43" s="89"/>
      <c r="M43" s="89"/>
      <c r="N43" s="89"/>
      <c r="O43" s="89"/>
      <c r="P43" s="89"/>
      <c r="Q43" s="89"/>
      <c r="R43" s="89"/>
      <c r="S43" s="89"/>
      <c r="T43" s="89"/>
    </row>
    <row r="44" spans="1:20" ht="26.45" customHeight="1">
      <c r="A44" s="75" t="s">
        <v>237</v>
      </c>
      <c r="B44" s="87"/>
      <c r="C44" s="87"/>
      <c r="D44" s="87"/>
      <c r="E44" s="87"/>
      <c r="F44" s="87"/>
      <c r="G44" s="87"/>
      <c r="H44" s="87"/>
      <c r="I44" s="87"/>
      <c r="J44" s="87"/>
      <c r="K44" s="87"/>
      <c r="L44" s="87"/>
      <c r="M44" s="87"/>
      <c r="N44" s="87"/>
      <c r="O44" s="87"/>
      <c r="P44" s="87"/>
      <c r="Q44" s="87"/>
      <c r="R44" s="87"/>
      <c r="S44" s="87"/>
      <c r="T44" s="87"/>
    </row>
    <row r="45" spans="1:20" ht="26.45" customHeight="1">
      <c r="A45" s="87"/>
      <c r="B45" s="87"/>
      <c r="C45" s="87"/>
      <c r="D45" s="87"/>
      <c r="E45" s="87"/>
      <c r="F45" s="87"/>
      <c r="G45" s="87"/>
      <c r="H45" s="87"/>
      <c r="I45" s="87"/>
      <c r="J45" s="87"/>
      <c r="K45" s="87"/>
      <c r="L45" s="87"/>
      <c r="M45" s="87"/>
      <c r="N45" s="87"/>
      <c r="O45" s="87"/>
      <c r="P45" s="87"/>
      <c r="Q45" s="87"/>
      <c r="R45" s="87"/>
      <c r="S45" s="87"/>
      <c r="T45" s="87"/>
    </row>
    <row r="46" spans="1:20" ht="15.75" customHeight="1">
      <c r="A46" s="74" t="s">
        <v>28</v>
      </c>
      <c r="B46" s="87"/>
      <c r="C46" s="87"/>
      <c r="D46" s="87"/>
      <c r="E46" s="87"/>
      <c r="F46" s="87"/>
      <c r="G46" s="87"/>
      <c r="H46" s="87"/>
      <c r="I46" s="87"/>
      <c r="J46" s="87"/>
      <c r="K46" s="87"/>
      <c r="L46" s="87"/>
      <c r="M46" s="87"/>
      <c r="N46" s="87"/>
      <c r="O46" s="87"/>
      <c r="P46" s="87"/>
      <c r="Q46" s="87"/>
      <c r="R46" s="87"/>
      <c r="S46" s="87"/>
      <c r="T46" s="87"/>
    </row>
    <row r="47" spans="1:20" ht="54.95" customHeight="1">
      <c r="A47" s="35"/>
      <c r="B47" s="36" t="s">
        <v>27</v>
      </c>
      <c r="D47" s="36" t="s">
        <v>177</v>
      </c>
      <c r="F47" s="36" t="s">
        <v>201</v>
      </c>
      <c r="H47" s="36" t="s">
        <v>238</v>
      </c>
      <c r="J47" s="36" t="s">
        <v>165</v>
      </c>
      <c r="L47" s="37" t="s">
        <v>239</v>
      </c>
    </row>
    <row r="48" spans="1:20" ht="15" customHeight="1">
      <c r="A48" s="23" t="s">
        <v>61</v>
      </c>
      <c r="B48" s="38">
        <f>B18/B22</f>
        <v>2.0817218596406413</v>
      </c>
      <c r="D48" s="38">
        <f>F18/F22</f>
        <v>2.298500691740935</v>
      </c>
      <c r="F48" s="38">
        <f>J18/J22</f>
        <v>2.3982855870565531</v>
      </c>
      <c r="H48" s="38">
        <f>N18/N22</f>
        <v>1.3793959453868432</v>
      </c>
      <c r="J48" s="38">
        <f>R18/R22</f>
        <v>4.0189850310332238</v>
      </c>
      <c r="L48" s="39">
        <f t="shared" ref="L48:L56" si="0">AVERAGE(B48:J48)</f>
        <v>2.4353778229716396</v>
      </c>
    </row>
    <row r="49" spans="1:20" ht="15" customHeight="1">
      <c r="A49" s="23" t="s">
        <v>63</v>
      </c>
      <c r="B49" s="38">
        <f>(B18-B13)/B22</f>
        <v>0.97051003142373715</v>
      </c>
      <c r="D49" s="38">
        <f>(F18-F13)/F22</f>
        <v>1.3576960200765742</v>
      </c>
      <c r="F49" s="38">
        <f>(J18-J13)/J22</f>
        <v>1.8448864479738754</v>
      </c>
      <c r="H49" s="38">
        <f>(N18-N13)/N22</f>
        <v>0.96241897669286991</v>
      </c>
      <c r="J49" s="38">
        <f>(R18-R13)/R22</f>
        <v>2.7685597321588098</v>
      </c>
      <c r="L49" s="39">
        <f t="shared" si="0"/>
        <v>1.5808142416651734</v>
      </c>
    </row>
    <row r="50" spans="1:20" ht="15" customHeight="1">
      <c r="A50" s="23" t="s">
        <v>65</v>
      </c>
      <c r="B50" s="38">
        <f>(B15+B16)/B22</f>
        <v>0.18423676577229878</v>
      </c>
      <c r="D50" s="38">
        <f>(F15+F16)/F22</f>
        <v>3.2540780541166631E-2</v>
      </c>
      <c r="F50" s="38">
        <f>(J15+J16)/J22</f>
        <v>0.13767255454950275</v>
      </c>
      <c r="H50" s="38">
        <f>(N15+N16)/N22</f>
        <v>0.20652323817404494</v>
      </c>
      <c r="J50" s="38">
        <f>(R15+R16)/R22</f>
        <v>0.20215484763036676</v>
      </c>
      <c r="L50" s="39">
        <f t="shared" si="0"/>
        <v>0.15262563733347595</v>
      </c>
    </row>
    <row r="51" spans="1:20" ht="15" customHeight="1">
      <c r="A51" s="23" t="s">
        <v>73</v>
      </c>
      <c r="B51" s="40">
        <f>B30/B26</f>
        <v>0.10595699571845235</v>
      </c>
      <c r="D51" s="40">
        <f>F30/F26</f>
        <v>0.12130485760160256</v>
      </c>
      <c r="F51" s="40">
        <f>J30/J26</f>
        <v>0.11270053789960773</v>
      </c>
      <c r="H51" s="40">
        <f>N30/N26</f>
        <v>0.10476143918654675</v>
      </c>
      <c r="J51" s="40">
        <f>R30/R26</f>
        <v>0.13622509073980452</v>
      </c>
      <c r="L51" s="41">
        <f t="shared" si="0"/>
        <v>0.11618978422920279</v>
      </c>
    </row>
    <row r="52" spans="1:20" ht="15" customHeight="1">
      <c r="A52" s="23" t="s">
        <v>240</v>
      </c>
      <c r="B52" s="40">
        <f>B30/AVERAGE(B39,B25)</f>
        <v>0.13675445816360657</v>
      </c>
      <c r="D52" s="40">
        <f>F30/AVERAGE(F39,F25)</f>
        <v>0.13607762567910608</v>
      </c>
      <c r="F52" s="40">
        <f>J30/AVERAGE(J39,J25)</f>
        <v>0.1115935062719985</v>
      </c>
      <c r="H52" s="40">
        <f>N30/AVERAGE(N39,N25)</f>
        <v>0.14767598111842331</v>
      </c>
      <c r="J52" s="40">
        <f>R30/AVERAGE(R39,R25)</f>
        <v>0.1344263935069277</v>
      </c>
      <c r="L52" s="41">
        <f t="shared" si="0"/>
        <v>0.13330559294801242</v>
      </c>
    </row>
    <row r="53" spans="1:20" ht="15" customHeight="1">
      <c r="A53" s="23" t="s">
        <v>241</v>
      </c>
      <c r="B53" s="40">
        <f>B30/AVERAGE(B38,B24)</f>
        <v>0.20166006943469678</v>
      </c>
      <c r="D53" s="40">
        <f>F30/AVERAGE(F38,F24)</f>
        <v>0.19236244551560497</v>
      </c>
      <c r="F53" s="40">
        <f>J30/AVERAGE(J38,J24)</f>
        <v>0.14663739487879543</v>
      </c>
      <c r="H53" s="40">
        <f>N30/AVERAGE(N38,N24)</f>
        <v>0.32251025245494563</v>
      </c>
      <c r="J53" s="40">
        <f>R30/AVERAGE(R38,R24)</f>
        <v>0.16993265026810936</v>
      </c>
      <c r="L53" s="41">
        <f t="shared" si="0"/>
        <v>0.20662056251043043</v>
      </c>
    </row>
    <row r="54" spans="1:20" ht="15" customHeight="1">
      <c r="A54" s="23" t="s">
        <v>68</v>
      </c>
      <c r="B54" s="38">
        <f>B23/B24</f>
        <v>6.8649160543982987E-5</v>
      </c>
      <c r="D54" s="38">
        <f>F23/F24</f>
        <v>2.0754887934140631E-3</v>
      </c>
      <c r="F54" s="38">
        <f>J23/J24</f>
        <v>0</v>
      </c>
      <c r="H54" s="38">
        <f>N23/N24</f>
        <v>0</v>
      </c>
      <c r="J54" s="38">
        <f>R23/R24</f>
        <v>0</v>
      </c>
      <c r="L54" s="39">
        <f t="shared" si="0"/>
        <v>4.2882759079160922E-4</v>
      </c>
    </row>
    <row r="55" spans="1:20" ht="15" customHeight="1">
      <c r="A55" s="23" t="s">
        <v>242</v>
      </c>
      <c r="B55" s="38">
        <f>(B23+B33)/B24</f>
        <v>8.6689807887964571E-2</v>
      </c>
      <c r="D55" s="38">
        <f>(F23+F33)/F24</f>
        <v>6.3150697343163642E-2</v>
      </c>
      <c r="F55" s="38">
        <f>(J23+J33)/J24</f>
        <v>1.8795199114622092E-2</v>
      </c>
      <c r="H55" s="38">
        <f>(N23+N33)/N24</f>
        <v>4.673741250846692E-2</v>
      </c>
      <c r="J55" s="38">
        <f>(R23+R33)/R24</f>
        <v>2.689189677407194E-2</v>
      </c>
      <c r="L55" s="39">
        <f t="shared" si="0"/>
        <v>4.8453002725657834E-2</v>
      </c>
    </row>
    <row r="56" spans="1:20" ht="28.35" customHeight="1">
      <c r="A56" s="42" t="s">
        <v>243</v>
      </c>
      <c r="B56" s="43">
        <f>B27/AVERAGE(B37,B13)</f>
        <v>2.4859217752831855</v>
      </c>
      <c r="D56" s="43">
        <f>F27/AVERAGE(F37,F13)</f>
        <v>2.4061316888135211</v>
      </c>
      <c r="F56" s="43">
        <f>J27/AVERAGE(J37,J13)</f>
        <v>4.1140392604572984</v>
      </c>
      <c r="H56" s="43">
        <f>N27/AVERAGE(N37,N13)</f>
        <v>3.5561585265581317</v>
      </c>
      <c r="J56" s="43">
        <f>R27/AVERAGE(R37,R13)</f>
        <v>2.7019266837169651</v>
      </c>
      <c r="L56" s="44">
        <f t="shared" si="0"/>
        <v>3.0528355869658208</v>
      </c>
    </row>
    <row r="58" spans="1:20" ht="15.75" customHeight="1">
      <c r="A58" s="74" t="s">
        <v>29</v>
      </c>
      <c r="B58" s="87"/>
      <c r="C58" s="87"/>
      <c r="D58" s="87"/>
      <c r="E58" s="87"/>
      <c r="F58" s="87"/>
      <c r="G58" s="87"/>
      <c r="H58" s="87"/>
      <c r="I58" s="87"/>
      <c r="J58" s="87"/>
      <c r="K58" s="87"/>
      <c r="L58" s="87"/>
      <c r="M58" s="87"/>
      <c r="N58" s="87"/>
      <c r="O58" s="87"/>
      <c r="P58" s="87"/>
      <c r="Q58" s="87"/>
      <c r="R58" s="87"/>
      <c r="S58" s="87"/>
      <c r="T58" s="87"/>
    </row>
    <row r="59" spans="1:20" ht="54.95" customHeight="1">
      <c r="A59" s="35"/>
      <c r="B59" s="36" t="s">
        <v>27</v>
      </c>
      <c r="D59" s="36" t="s">
        <v>177</v>
      </c>
      <c r="F59" s="36" t="s">
        <v>201</v>
      </c>
      <c r="H59" s="36" t="s">
        <v>238</v>
      </c>
      <c r="J59" s="36" t="s">
        <v>165</v>
      </c>
      <c r="L59" s="37" t="s">
        <v>239</v>
      </c>
    </row>
    <row r="60" spans="1:20" ht="15" customHeight="1">
      <c r="A60" s="23" t="s">
        <v>61</v>
      </c>
      <c r="B60" s="38">
        <f>D18/D22</f>
        <v>2.1849998366096979</v>
      </c>
      <c r="D60" s="38">
        <f>H18/H22</f>
        <v>2.4631067046538049</v>
      </c>
      <c r="F60" s="38">
        <f>L18/L22</f>
        <v>2.225504490843345</v>
      </c>
      <c r="H60" s="38">
        <f>P18/P22</f>
        <v>1.5167063387110995</v>
      </c>
      <c r="J60" s="38">
        <f>T18/T22</f>
        <v>3.7476688537501919</v>
      </c>
      <c r="L60" s="39">
        <f t="shared" ref="L60:L68" si="1">AVERAGE(B60:J60)</f>
        <v>2.4275972449136276</v>
      </c>
    </row>
    <row r="61" spans="1:20" ht="15" customHeight="1">
      <c r="A61" s="23" t="s">
        <v>63</v>
      </c>
      <c r="B61" s="38">
        <f>(D18-D13)/D22</f>
        <v>1.1460242471208295</v>
      </c>
      <c r="D61" s="38">
        <f>(H18-H13)/H22</f>
        <v>1.7744366160996192</v>
      </c>
      <c r="F61" s="38">
        <f>(L18-L13)/L22</f>
        <v>1.7208095182549863</v>
      </c>
      <c r="H61" s="38">
        <f>(P18-P13)/P22</f>
        <v>1.0132240148108969</v>
      </c>
      <c r="J61" s="38">
        <f>(T18-T13)/T22</f>
        <v>2.751186431627497</v>
      </c>
      <c r="L61" s="39">
        <f t="shared" si="1"/>
        <v>1.6811361655827657</v>
      </c>
    </row>
    <row r="62" spans="1:20" ht="15" customHeight="1">
      <c r="A62" s="23" t="s">
        <v>65</v>
      </c>
      <c r="B62" s="38">
        <f>(D15+D16)/D22</f>
        <v>9.6610351475881248E-2</v>
      </c>
      <c r="D62" s="38">
        <f>(H15+H16)/H22</f>
        <v>6.3709341296168356E-2</v>
      </c>
      <c r="F62" s="38">
        <f>(L15+L16)/L22</f>
        <v>8.32555698122011E-2</v>
      </c>
      <c r="H62" s="38">
        <f>(P15+P16)/P22</f>
        <v>0.22657145376002821</v>
      </c>
      <c r="J62" s="38">
        <f>(T15+T16)/T22</f>
        <v>0.12821471241965304</v>
      </c>
      <c r="L62" s="39">
        <f t="shared" si="1"/>
        <v>0.11967228575278641</v>
      </c>
    </row>
    <row r="63" spans="1:20" ht="15" customHeight="1">
      <c r="A63" s="23" t="s">
        <v>73</v>
      </c>
      <c r="B63" s="40">
        <f>D30/D26</f>
        <v>0.10514870298749533</v>
      </c>
      <c r="D63" s="40">
        <f>H30/H26</f>
        <v>0.13793440773129739</v>
      </c>
      <c r="F63" s="40">
        <f>L30/L26</f>
        <v>0.10930592728475626</v>
      </c>
      <c r="H63" s="40">
        <f>P30/P26</f>
        <v>0.53281284729939993</v>
      </c>
      <c r="J63" s="40">
        <f>T30/T26</f>
        <v>8.0091947131691404E-2</v>
      </c>
      <c r="L63" s="41">
        <f t="shared" si="1"/>
        <v>0.19305876648692805</v>
      </c>
    </row>
    <row r="64" spans="1:20" ht="15" customHeight="1">
      <c r="A64" s="23" t="s">
        <v>240</v>
      </c>
      <c r="B64" s="40">
        <f>D30/AVERAGE(B25,D25)</f>
        <v>0.12797740544575015</v>
      </c>
      <c r="D64" s="40">
        <f>H30/AVERAGE(F25,H25)</f>
        <v>0.14960756905016925</v>
      </c>
      <c r="F64" s="40">
        <f>L30/AVERAGE(J25,L25)</f>
        <v>9.9320285548382681E-2</v>
      </c>
      <c r="H64" s="40">
        <f>P30/AVERAGE(N25,P25)</f>
        <v>0.57849170437405728</v>
      </c>
      <c r="J64" s="40">
        <f>T30/AVERAGE(R25,T25)</f>
        <v>7.5097696063019789E-2</v>
      </c>
      <c r="L64" s="41">
        <f t="shared" si="1"/>
        <v>0.20609893209627583</v>
      </c>
    </row>
    <row r="65" spans="1:20" ht="15" customHeight="1">
      <c r="A65" s="23" t="s">
        <v>241</v>
      </c>
      <c r="B65" s="40">
        <f>D30/AVERAGE(B24,D24)</f>
        <v>0.18224611525653781</v>
      </c>
      <c r="D65" s="40">
        <f>H30/AVERAGE(F24,H24)</f>
        <v>0.21346237800842147</v>
      </c>
      <c r="F65" s="40">
        <f>L30/AVERAGE(J24,L24)</f>
        <v>0.13036597339598024</v>
      </c>
      <c r="H65" s="40">
        <f>P30/AVERAGE(N24,P24)</f>
        <v>1.030218378146069</v>
      </c>
      <c r="J65" s="40">
        <f>T30/AVERAGE(R24,T24)</f>
        <v>9.4908896034297974E-2</v>
      </c>
      <c r="L65" s="41">
        <f t="shared" si="1"/>
        <v>0.33024034816826131</v>
      </c>
    </row>
    <row r="66" spans="1:20" ht="15" customHeight="1">
      <c r="A66" s="23" t="s">
        <v>68</v>
      </c>
      <c r="B66" s="38">
        <f>D23/D24</f>
        <v>0</v>
      </c>
      <c r="D66" s="38">
        <f>H23/H24</f>
        <v>5.7246424233791879E-2</v>
      </c>
      <c r="F66" s="38">
        <f>L23/L24</f>
        <v>0</v>
      </c>
      <c r="H66" s="38">
        <f>P23/P24</f>
        <v>0</v>
      </c>
      <c r="J66" s="38">
        <f>T23/T24</f>
        <v>0</v>
      </c>
      <c r="L66" s="39">
        <f t="shared" si="1"/>
        <v>1.1449284846758376E-2</v>
      </c>
    </row>
    <row r="67" spans="1:20" ht="15" customHeight="1">
      <c r="A67" s="23" t="s">
        <v>242</v>
      </c>
      <c r="B67" s="38">
        <f>(D23+D33)/D24</f>
        <v>7.2323385202352236E-2</v>
      </c>
      <c r="D67" s="38">
        <f>(H23+H33)/H24</f>
        <v>0.11399336719668783</v>
      </c>
      <c r="F67" s="38">
        <f>(L23+L33)/L24</f>
        <v>1.5545312301771896E-2</v>
      </c>
      <c r="H67" s="38">
        <f>(P23+P33)/P24</f>
        <v>3.3038175591011611E-2</v>
      </c>
      <c r="J67" s="38">
        <f>(T23+T33)/T24</f>
        <v>3.2438390207548941E-2</v>
      </c>
      <c r="L67" s="39">
        <f t="shared" si="1"/>
        <v>5.3467726099874505E-2</v>
      </c>
    </row>
    <row r="68" spans="1:20" ht="28.35" customHeight="1">
      <c r="A68" s="42" t="s">
        <v>243</v>
      </c>
      <c r="B68" s="43">
        <f>D27/AVERAGE(B13,D13)</f>
        <v>2.3567528541130818</v>
      </c>
      <c r="D68" s="43">
        <f>H27/AVERAGE(F13,H13)</f>
        <v>2.3743700207158835</v>
      </c>
      <c r="F68" s="43">
        <f>L27/AVERAGE(J13,L13)</f>
        <v>4.1104903786468032</v>
      </c>
      <c r="H68" s="43">
        <f>P27/AVERAGE(N13,P13)</f>
        <v>3.1777513182514028</v>
      </c>
      <c r="J68" s="43">
        <f>T27/AVERAGE(R13,T13)</f>
        <v>2.8248292577587399</v>
      </c>
      <c r="L68" s="44">
        <f t="shared" si="1"/>
        <v>2.9688387658971824</v>
      </c>
    </row>
    <row r="70" spans="1:20" ht="23.85" customHeight="1">
      <c r="A70" s="78" t="s">
        <v>244</v>
      </c>
      <c r="B70" s="89"/>
      <c r="C70" s="89"/>
      <c r="D70" s="89"/>
      <c r="E70" s="89"/>
      <c r="F70" s="89"/>
      <c r="G70" s="89"/>
      <c r="H70" s="89"/>
      <c r="I70" s="89"/>
      <c r="J70" s="89"/>
      <c r="K70" s="89"/>
      <c r="L70" s="89"/>
      <c r="M70" s="89"/>
      <c r="N70" s="89"/>
      <c r="O70" s="89"/>
      <c r="P70" s="89"/>
      <c r="Q70" s="89"/>
      <c r="R70" s="89"/>
      <c r="S70" s="89"/>
      <c r="T70" s="89"/>
    </row>
    <row r="71" spans="1:20" ht="68.25" customHeight="1">
      <c r="A71" s="75" t="s">
        <v>245</v>
      </c>
      <c r="B71" s="87"/>
      <c r="C71" s="87"/>
      <c r="D71" s="87"/>
      <c r="E71" s="87"/>
      <c r="F71" s="87"/>
      <c r="G71" s="87"/>
      <c r="H71" s="87"/>
      <c r="I71" s="87"/>
      <c r="J71" s="87"/>
      <c r="K71" s="87"/>
      <c r="L71" s="87"/>
      <c r="M71" s="87"/>
      <c r="N71" s="87"/>
      <c r="O71" s="87"/>
      <c r="P71" s="87"/>
      <c r="Q71" s="87"/>
      <c r="R71" s="87"/>
      <c r="S71" s="87"/>
      <c r="T71" s="87"/>
    </row>
    <row r="73" spans="1:20" ht="15.75" customHeight="1">
      <c r="A73" s="73" t="s">
        <v>28</v>
      </c>
      <c r="B73" s="87"/>
      <c r="C73" s="87"/>
      <c r="D73" s="87"/>
      <c r="E73" s="87"/>
      <c r="F73" s="87"/>
      <c r="G73" s="87"/>
      <c r="H73" s="87"/>
      <c r="I73" s="87"/>
      <c r="J73" s="87"/>
      <c r="K73" s="87"/>
      <c r="L73" s="87"/>
      <c r="M73" s="87"/>
      <c r="N73" s="87"/>
      <c r="O73" s="87"/>
      <c r="P73" s="87"/>
      <c r="Q73" s="87"/>
      <c r="R73" s="87"/>
      <c r="S73" s="87"/>
      <c r="T73" s="87"/>
    </row>
    <row r="74" spans="1:20" ht="54.95" customHeight="1">
      <c r="A74" s="35"/>
      <c r="B74" s="36" t="s">
        <v>27</v>
      </c>
      <c r="D74" s="36" t="s">
        <v>177</v>
      </c>
      <c r="F74" s="36" t="s">
        <v>201</v>
      </c>
      <c r="H74" s="36" t="s">
        <v>238</v>
      </c>
      <c r="J74" s="36" t="s">
        <v>165</v>
      </c>
      <c r="L74" s="37" t="s">
        <v>239</v>
      </c>
    </row>
    <row r="75" spans="1:20" ht="15" customHeight="1">
      <c r="A75" s="23" t="s">
        <v>93</v>
      </c>
      <c r="B75" s="40">
        <f>(B26-B40)/B40</f>
        <v>1.6624129130164766E-2</v>
      </c>
      <c r="D75" s="40">
        <f>(F26-F40)/F40</f>
        <v>-5.3618057205659916E-2</v>
      </c>
      <c r="F75" s="40">
        <f>(J26-J40)/J40</f>
        <v>1.7794813764085361E-2</v>
      </c>
      <c r="H75" s="40">
        <f>(N26-N40)/N40</f>
        <v>3.2714054927302075E-2</v>
      </c>
      <c r="J75" s="40">
        <f>(R26-R40)/R40</f>
        <v>1.3986988219063187E-2</v>
      </c>
      <c r="L75" s="41">
        <f>AVERAGE(B75:J75)</f>
        <v>5.5003857669910948E-3</v>
      </c>
    </row>
    <row r="76" spans="1:20" ht="15" customHeight="1">
      <c r="A76" s="42" t="s">
        <v>95</v>
      </c>
      <c r="B76" s="45">
        <f>(B26-(B34-B35))/B26</f>
        <v>0.13338191129703159</v>
      </c>
      <c r="D76" s="45">
        <f>(F26-(F34-F35))/F26</f>
        <v>0.15736084581247367</v>
      </c>
      <c r="F76" s="45">
        <f>(J26-(J34-J35))/J26</f>
        <v>0.13915705572389386</v>
      </c>
      <c r="H76" s="45">
        <f>(N26-(N34-N35))/N26</f>
        <v>0.13489929605005868</v>
      </c>
      <c r="J76" s="45">
        <f>(R26-(R34-R35))/R26</f>
        <v>0.10410566768622499</v>
      </c>
      <c r="L76" s="46">
        <f>AVERAGE(B76:J76)</f>
        <v>0.13378095531393658</v>
      </c>
    </row>
    <row r="78" spans="1:20" ht="15.75" customHeight="1">
      <c r="A78" s="73" t="s">
        <v>29</v>
      </c>
      <c r="B78" s="87"/>
      <c r="C78" s="87"/>
      <c r="D78" s="87"/>
      <c r="E78" s="87"/>
      <c r="F78" s="87"/>
      <c r="G78" s="87"/>
      <c r="H78" s="87"/>
      <c r="I78" s="87"/>
      <c r="J78" s="87"/>
      <c r="K78" s="87"/>
      <c r="L78" s="87"/>
      <c r="M78" s="87"/>
      <c r="N78" s="87"/>
      <c r="O78" s="87"/>
      <c r="P78" s="87"/>
      <c r="Q78" s="87"/>
      <c r="R78" s="87"/>
      <c r="S78" s="87"/>
      <c r="T78" s="87"/>
    </row>
    <row r="79" spans="1:20" ht="54.95" customHeight="1">
      <c r="A79" s="35"/>
      <c r="B79" s="36" t="s">
        <v>27</v>
      </c>
      <c r="D79" s="36" t="s">
        <v>177</v>
      </c>
      <c r="F79" s="36" t="s">
        <v>201</v>
      </c>
      <c r="H79" s="36" t="s">
        <v>238</v>
      </c>
      <c r="J79" s="36" t="s">
        <v>165</v>
      </c>
      <c r="L79" s="37" t="s">
        <v>239</v>
      </c>
    </row>
    <row r="80" spans="1:20" ht="15" customHeight="1">
      <c r="A80" s="23" t="s">
        <v>93</v>
      </c>
      <c r="B80" s="40">
        <f>(D26-B26)/B26</f>
        <v>2.4670525369694139E-2</v>
      </c>
      <c r="D80" s="40">
        <f>(H26-F26)/F26</f>
        <v>4.1174987691459074E-2</v>
      </c>
      <c r="F80" s="40">
        <f>(L26-J26)/J26</f>
        <v>4.1442541830111285E-2</v>
      </c>
      <c r="H80" s="40">
        <f>(P26-N26)/N26</f>
        <v>-0.12025811497849043</v>
      </c>
      <c r="J80" s="40">
        <f>(T26-R26)/R26</f>
        <v>3.2350190950430194E-2</v>
      </c>
      <c r="L80" s="41">
        <f>AVERAGE(B80:J80)</f>
        <v>3.8760261726408533E-3</v>
      </c>
    </row>
    <row r="81" spans="1:20" ht="15" customHeight="1">
      <c r="A81" s="42" t="s">
        <v>95</v>
      </c>
      <c r="B81" s="45">
        <f>(D26-(D34-D35))/D26</f>
        <v>0.12868782449304714</v>
      </c>
      <c r="D81" s="45">
        <f>(H26-(H34-H35))/H26</f>
        <v>0.16558030879949873</v>
      </c>
      <c r="F81" s="45">
        <f>(L26-(L34-L35))/L26</f>
        <v>0.14382161008029348</v>
      </c>
      <c r="H81" s="45">
        <f>(P26-(P34-P35))/P26</f>
        <v>0.12008224049788838</v>
      </c>
      <c r="J81" s="45">
        <f>(T26-(T34-T35))/T26</f>
        <v>9.8828953267960734E-2</v>
      </c>
      <c r="L81" s="46">
        <f>AVERAGE(B81:J81)</f>
        <v>0.13140018742773768</v>
      </c>
    </row>
    <row r="83" spans="1:20" ht="15" customHeight="1">
      <c r="A83" s="47" t="s">
        <v>246</v>
      </c>
    </row>
    <row r="84" spans="1:20" ht="129.19999999999999" customHeight="1">
      <c r="A84" s="70" t="s">
        <v>247</v>
      </c>
      <c r="B84" s="87"/>
      <c r="C84" s="87"/>
      <c r="D84" s="87"/>
      <c r="E84" s="87"/>
      <c r="F84" s="87"/>
      <c r="G84" s="87"/>
      <c r="H84" s="87"/>
      <c r="I84" s="87"/>
      <c r="J84" s="87"/>
      <c r="K84" s="87"/>
      <c r="L84" s="87"/>
      <c r="M84" s="87"/>
      <c r="N84" s="87"/>
      <c r="O84" s="87"/>
      <c r="P84" s="87"/>
      <c r="Q84" s="87"/>
      <c r="R84" s="87"/>
      <c r="S84" s="87"/>
      <c r="T84" s="87"/>
    </row>
    <row r="87" spans="1:20" ht="30" customHeight="1">
      <c r="A87" s="71" t="s">
        <v>248</v>
      </c>
      <c r="B87" s="89"/>
      <c r="C87" s="89"/>
      <c r="D87" s="89"/>
      <c r="E87" s="89"/>
      <c r="F87" s="89"/>
      <c r="G87" s="89"/>
      <c r="H87" s="89"/>
      <c r="I87" s="89"/>
      <c r="J87" s="89"/>
      <c r="K87" s="89"/>
      <c r="L87" s="89"/>
      <c r="M87" s="89"/>
      <c r="N87" s="89"/>
      <c r="O87" s="89"/>
      <c r="P87" s="89"/>
      <c r="Q87" s="89"/>
      <c r="R87" s="89"/>
      <c r="S87" s="89"/>
      <c r="T87" s="89"/>
    </row>
    <row r="88" spans="1:20" ht="32.1" customHeight="1">
      <c r="A88" s="75" t="s">
        <v>249</v>
      </c>
      <c r="B88" s="87"/>
      <c r="C88" s="87"/>
      <c r="D88" s="87"/>
      <c r="E88" s="87"/>
      <c r="F88" s="87"/>
      <c r="G88" s="87"/>
      <c r="H88" s="87"/>
      <c r="I88" s="87"/>
      <c r="J88" s="87"/>
      <c r="K88" s="87"/>
      <c r="L88" s="87"/>
      <c r="M88" s="87"/>
      <c r="N88" s="87"/>
      <c r="O88" s="87"/>
      <c r="P88" s="87"/>
      <c r="Q88" s="87"/>
      <c r="R88" s="87"/>
      <c r="S88" s="87"/>
      <c r="T88" s="87"/>
    </row>
    <row r="89" spans="1:20" ht="32.1" customHeight="1">
      <c r="A89" s="87"/>
      <c r="B89" s="87"/>
      <c r="C89" s="87"/>
      <c r="D89" s="87"/>
      <c r="E89" s="87"/>
      <c r="F89" s="87"/>
      <c r="G89" s="87"/>
      <c r="H89" s="87"/>
      <c r="I89" s="87"/>
      <c r="J89" s="87"/>
      <c r="K89" s="87"/>
      <c r="L89" s="87"/>
      <c r="M89" s="87"/>
      <c r="N89" s="87"/>
      <c r="O89" s="87"/>
      <c r="P89" s="87"/>
      <c r="Q89" s="87"/>
      <c r="R89" s="87"/>
      <c r="S89" s="87"/>
      <c r="T89" s="87"/>
    </row>
    <row r="90" spans="1:20" ht="32.1" customHeight="1">
      <c r="A90" s="87"/>
      <c r="B90" s="87"/>
      <c r="C90" s="87"/>
      <c r="D90" s="87"/>
      <c r="E90" s="87"/>
      <c r="F90" s="87"/>
      <c r="G90" s="87"/>
      <c r="H90" s="87"/>
      <c r="I90" s="87"/>
      <c r="J90" s="87"/>
      <c r="K90" s="87"/>
      <c r="L90" s="87"/>
      <c r="M90" s="87"/>
      <c r="N90" s="87"/>
      <c r="O90" s="87"/>
      <c r="P90" s="87"/>
      <c r="Q90" s="87"/>
      <c r="R90" s="87"/>
      <c r="S90" s="87"/>
      <c r="T90" s="87"/>
    </row>
    <row r="91" spans="1:20" ht="32.1" customHeight="1">
      <c r="A91" s="87"/>
      <c r="B91" s="87"/>
      <c r="C91" s="87"/>
      <c r="D91" s="87"/>
      <c r="E91" s="87"/>
      <c r="F91" s="87"/>
      <c r="G91" s="87"/>
      <c r="H91" s="87"/>
      <c r="I91" s="87"/>
      <c r="J91" s="87"/>
      <c r="K91" s="87"/>
      <c r="L91" s="87"/>
      <c r="M91" s="87"/>
      <c r="N91" s="87"/>
      <c r="O91" s="87"/>
      <c r="P91" s="87"/>
      <c r="Q91" s="87"/>
      <c r="R91" s="87"/>
      <c r="S91" s="87"/>
      <c r="T91" s="87"/>
    </row>
    <row r="92" spans="1:20" ht="32.1" customHeight="1">
      <c r="A92" s="87"/>
      <c r="B92" s="87"/>
      <c r="C92" s="87"/>
      <c r="D92" s="87"/>
      <c r="E92" s="87"/>
      <c r="F92" s="87"/>
      <c r="G92" s="87"/>
      <c r="H92" s="87"/>
      <c r="I92" s="87"/>
      <c r="J92" s="87"/>
      <c r="K92" s="87"/>
      <c r="L92" s="87"/>
      <c r="M92" s="87"/>
      <c r="N92" s="87"/>
      <c r="O92" s="87"/>
      <c r="P92" s="87"/>
      <c r="Q92" s="87"/>
      <c r="R92" s="87"/>
      <c r="S92" s="87"/>
      <c r="T92" s="87"/>
    </row>
    <row r="94" spans="1:20" ht="23.85" customHeight="1">
      <c r="A94" s="71" t="s">
        <v>250</v>
      </c>
      <c r="B94" s="89"/>
      <c r="C94" s="89"/>
      <c r="D94" s="89"/>
      <c r="E94" s="89"/>
      <c r="F94" s="89"/>
      <c r="G94" s="89"/>
      <c r="H94" s="89"/>
      <c r="I94" s="89"/>
      <c r="J94" s="89"/>
      <c r="K94" s="89"/>
      <c r="L94" s="89"/>
      <c r="M94" s="89"/>
      <c r="N94" s="89"/>
      <c r="O94" s="89"/>
      <c r="P94" s="89"/>
      <c r="Q94" s="89"/>
      <c r="R94" s="89"/>
      <c r="S94" s="89"/>
      <c r="T94" s="89"/>
    </row>
    <row r="95" spans="1:20" ht="26.45" customHeight="1">
      <c r="A95" s="75" t="s">
        <v>251</v>
      </c>
      <c r="B95" s="87"/>
      <c r="C95" s="87"/>
      <c r="D95" s="87"/>
      <c r="E95" s="87"/>
      <c r="F95" s="87"/>
      <c r="G95" s="87"/>
      <c r="H95" s="87"/>
      <c r="I95" s="87"/>
      <c r="J95" s="87"/>
      <c r="K95" s="87"/>
      <c r="L95" s="87"/>
      <c r="M95" s="87"/>
      <c r="N95" s="87"/>
      <c r="O95" s="87"/>
      <c r="P95" s="87"/>
      <c r="Q95" s="87"/>
      <c r="R95" s="87"/>
      <c r="S95" s="87"/>
      <c r="T95" s="87"/>
    </row>
    <row r="96" spans="1:20" ht="26.45" customHeight="1">
      <c r="A96" s="87"/>
      <c r="B96" s="87"/>
      <c r="C96" s="87"/>
      <c r="D96" s="87"/>
      <c r="E96" s="87"/>
      <c r="F96" s="87"/>
      <c r="G96" s="87"/>
      <c r="H96" s="87"/>
      <c r="I96" s="87"/>
      <c r="J96" s="87"/>
      <c r="K96" s="87"/>
      <c r="L96" s="87"/>
      <c r="M96" s="87"/>
      <c r="N96" s="87"/>
      <c r="O96" s="87"/>
      <c r="P96" s="87"/>
      <c r="Q96" s="87"/>
      <c r="R96" s="87"/>
      <c r="S96" s="87"/>
      <c r="T96" s="87"/>
    </row>
    <row r="97" spans="1:20" ht="15.75" customHeight="1">
      <c r="A97" s="74" t="s">
        <v>28</v>
      </c>
      <c r="B97" s="87"/>
      <c r="C97" s="87"/>
      <c r="D97" s="87"/>
      <c r="E97" s="87"/>
      <c r="F97" s="87"/>
      <c r="G97" s="87"/>
      <c r="H97" s="87"/>
      <c r="I97" s="87"/>
      <c r="J97" s="87"/>
      <c r="K97" s="87"/>
      <c r="L97" s="87"/>
      <c r="M97" s="87"/>
      <c r="N97" s="87"/>
      <c r="O97" s="87"/>
      <c r="P97" s="87"/>
      <c r="Q97" s="87"/>
      <c r="R97" s="87"/>
      <c r="S97" s="87"/>
      <c r="T97" s="87"/>
    </row>
    <row r="98" spans="1:20" ht="54.95" customHeight="1">
      <c r="A98" s="35"/>
      <c r="B98" s="36" t="s">
        <v>27</v>
      </c>
      <c r="D98" s="36" t="s">
        <v>177</v>
      </c>
      <c r="F98" s="36" t="s">
        <v>201</v>
      </c>
      <c r="H98" s="36" t="s">
        <v>238</v>
      </c>
      <c r="J98" s="36" t="s">
        <v>165</v>
      </c>
      <c r="L98" s="37" t="s">
        <v>239</v>
      </c>
    </row>
    <row r="99" spans="1:20" ht="15" customHeight="1">
      <c r="A99" s="23" t="s">
        <v>73</v>
      </c>
      <c r="B99" s="40">
        <f>B30/B26</f>
        <v>0.10595699571845235</v>
      </c>
      <c r="D99" s="40">
        <f>F30/F26</f>
        <v>0.12130485760160256</v>
      </c>
      <c r="F99" s="40">
        <f>J30/J26</f>
        <v>0.11270053789960773</v>
      </c>
      <c r="H99" s="40">
        <f>N30/N26</f>
        <v>0.10476143918654675</v>
      </c>
      <c r="J99" s="40">
        <f>R30/R26</f>
        <v>0.13622509073980452</v>
      </c>
      <c r="L99" s="41">
        <f>AVERAGE(B99:J99)</f>
        <v>0.11618978422920279</v>
      </c>
    </row>
    <row r="100" spans="1:20" ht="15" customHeight="1">
      <c r="A100" s="23" t="s">
        <v>101</v>
      </c>
      <c r="B100" s="38">
        <f>B26/AVERAGE(B39,B25)</f>
        <v>1.2906600195327249</v>
      </c>
      <c r="D100" s="38">
        <f>F26/AVERAGE(F39,F25)</f>
        <v>1.12178216412422</v>
      </c>
      <c r="F100" s="38">
        <f>J26/AVERAGE(J39,J25)</f>
        <v>0.99017722853643031</v>
      </c>
      <c r="H100" s="38">
        <f>N26/AVERAGE(N39,N25)</f>
        <v>1.409640629845295</v>
      </c>
      <c r="J100" s="38">
        <f>R26/AVERAGE(R39,R25)</f>
        <v>0.98679613848587999</v>
      </c>
      <c r="L100" s="39">
        <f>AVERAGE(B100:J100)</f>
        <v>1.15981123610491</v>
      </c>
    </row>
    <row r="101" spans="1:20" ht="15" customHeight="1">
      <c r="A101" s="23" t="s">
        <v>103</v>
      </c>
      <c r="B101" s="38">
        <f>AVERAGE(B39,B25)/AVERAGE(B38,B24)</f>
        <v>1.4746142256908379</v>
      </c>
      <c r="D101" s="38">
        <f>AVERAGE(F39,F25)/AVERAGE(F38,F24)</f>
        <v>1.4136228829361555</v>
      </c>
      <c r="F101" s="38">
        <f>AVERAGE(J39,J25)/AVERAGE(J38,J24)</f>
        <v>1.3140316114934216</v>
      </c>
      <c r="H101" s="38">
        <f>AVERAGE(N39,N25)/AVERAGE(N38,N24)</f>
        <v>2.1839045863275519</v>
      </c>
      <c r="J101" s="38">
        <f>AVERAGE(R39,R25)/AVERAGE(R38,R24)</f>
        <v>1.2641315878146491</v>
      </c>
      <c r="L101" s="39">
        <f>AVERAGE(B101:J101)</f>
        <v>1.5300609788525232</v>
      </c>
    </row>
    <row r="102" spans="1:20" ht="15" customHeight="1">
      <c r="A102" s="42" t="s">
        <v>105</v>
      </c>
      <c r="B102" s="45">
        <f>B99*B100*B101</f>
        <v>0.20166006943469678</v>
      </c>
      <c r="D102" s="45">
        <f>D99*D100*D101</f>
        <v>0.19236244551560491</v>
      </c>
      <c r="F102" s="45">
        <f>F99*F100*F101</f>
        <v>0.14663739487879546</v>
      </c>
      <c r="H102" s="45">
        <f>H99*H100*H101</f>
        <v>0.32251025245494569</v>
      </c>
      <c r="J102" s="45">
        <f>J99*J100*J101</f>
        <v>0.16993265026810933</v>
      </c>
      <c r="L102" s="46">
        <f>L99*L100*L101</f>
        <v>0.20618828982399792</v>
      </c>
    </row>
    <row r="104" spans="1:20" ht="15.75" customHeight="1">
      <c r="A104" s="74" t="s">
        <v>29</v>
      </c>
      <c r="B104" s="87"/>
      <c r="C104" s="87"/>
      <c r="D104" s="87"/>
      <c r="E104" s="87"/>
      <c r="F104" s="87"/>
      <c r="G104" s="87"/>
      <c r="H104" s="87"/>
      <c r="I104" s="87"/>
      <c r="J104" s="87"/>
      <c r="K104" s="87"/>
      <c r="L104" s="87"/>
      <c r="M104" s="87"/>
      <c r="N104" s="87"/>
      <c r="O104" s="87"/>
      <c r="P104" s="87"/>
      <c r="Q104" s="87"/>
      <c r="R104" s="87"/>
      <c r="S104" s="87"/>
      <c r="T104" s="87"/>
    </row>
    <row r="105" spans="1:20" ht="54.95" customHeight="1">
      <c r="A105" s="35"/>
      <c r="B105" s="36" t="s">
        <v>27</v>
      </c>
      <c r="D105" s="36" t="s">
        <v>177</v>
      </c>
      <c r="F105" s="36" t="s">
        <v>201</v>
      </c>
      <c r="H105" s="36" t="s">
        <v>238</v>
      </c>
      <c r="J105" s="36" t="s">
        <v>165</v>
      </c>
      <c r="L105" s="37" t="s">
        <v>239</v>
      </c>
    </row>
    <row r="106" spans="1:20" ht="15" customHeight="1">
      <c r="A106" s="23" t="s">
        <v>73</v>
      </c>
      <c r="B106" s="40">
        <f>D30/D26</f>
        <v>0.10514870298749533</v>
      </c>
      <c r="D106" s="40">
        <f>H30/H26</f>
        <v>0.13793440773129739</v>
      </c>
      <c r="F106" s="40">
        <f>L30/L26</f>
        <v>0.10930592728475626</v>
      </c>
      <c r="H106" s="40">
        <f>P30/P26</f>
        <v>0.53281284729939993</v>
      </c>
      <c r="J106" s="40">
        <f>T30/T26</f>
        <v>8.0091947131691404E-2</v>
      </c>
      <c r="L106" s="41">
        <f>AVERAGE(B106:J106)</f>
        <v>0.19305876648692805</v>
      </c>
    </row>
    <row r="107" spans="1:20" ht="15" customHeight="1">
      <c r="A107" s="23" t="s">
        <v>101</v>
      </c>
      <c r="B107" s="38">
        <f>D26/AVERAGE(B25,D25)</f>
        <v>1.2171087403804657</v>
      </c>
      <c r="D107" s="38">
        <f>H26/AVERAGE(F25,H25)</f>
        <v>1.0846283498865035</v>
      </c>
      <c r="F107" s="38">
        <f>L26/AVERAGE(J25,L25)</f>
        <v>0.90864501144242915</v>
      </c>
      <c r="H107" s="38">
        <f>P26/AVERAGE(N25,P25)</f>
        <v>1.0857315233785823</v>
      </c>
      <c r="J107" s="38">
        <f>T26/AVERAGE(R25,T25)</f>
        <v>0.93764353037316217</v>
      </c>
      <c r="L107" s="39">
        <f>AVERAGE(B107:J107)</f>
        <v>1.0467514310922286</v>
      </c>
    </row>
    <row r="108" spans="1:20" ht="15" customHeight="1">
      <c r="A108" s="23" t="s">
        <v>103</v>
      </c>
      <c r="B108" s="38">
        <f>AVERAGE(B25,D25)/AVERAGE(B24,D24)</f>
        <v>1.4240491485334283</v>
      </c>
      <c r="D108" s="38">
        <f>AVERAGE(F25,H25)/AVERAGE(F24,H24)</f>
        <v>1.426815363444875</v>
      </c>
      <c r="F108" s="38">
        <f>AVERAGE(J25,L25)/AVERAGE(J24,L24)</f>
        <v>1.31258154037902</v>
      </c>
      <c r="H108" s="38">
        <f>AVERAGE(N25,P25)/AVERAGE(N24,P24)</f>
        <v>1.7808697520749954</v>
      </c>
      <c r="J108" s="38">
        <f>AVERAGE(R25,T25)/AVERAGE(R24,T24)</f>
        <v>1.2638056959118054</v>
      </c>
      <c r="L108" s="39">
        <f>AVERAGE(B108:J108)</f>
        <v>1.4416243000688247</v>
      </c>
    </row>
    <row r="109" spans="1:20" ht="15" customHeight="1">
      <c r="A109" s="42" t="s">
        <v>105</v>
      </c>
      <c r="B109" s="45">
        <f>B106*B107*B108</f>
        <v>0.18224611525653783</v>
      </c>
      <c r="D109" s="45">
        <f>D106*D107*D108</f>
        <v>0.21346237800842149</v>
      </c>
      <c r="F109" s="45">
        <f>F106*F107*F108</f>
        <v>0.13036597339598024</v>
      </c>
      <c r="H109" s="45">
        <f>H106*H107*H108</f>
        <v>1.0302183781460692</v>
      </c>
      <c r="J109" s="45">
        <f>J106*J107*J108</f>
        <v>9.4908896034297974E-2</v>
      </c>
      <c r="L109" s="46">
        <f>L106*L107*L108</f>
        <v>0.29132998368373403</v>
      </c>
    </row>
    <row r="111" spans="1:20" ht="23.85" customHeight="1">
      <c r="A111" s="78" t="s">
        <v>252</v>
      </c>
      <c r="B111" s="89"/>
      <c r="C111" s="89"/>
      <c r="D111" s="89"/>
      <c r="E111" s="89"/>
      <c r="F111" s="89"/>
      <c r="G111" s="89"/>
      <c r="H111" s="89"/>
      <c r="I111" s="89"/>
      <c r="J111" s="89"/>
      <c r="K111" s="89"/>
      <c r="L111" s="89"/>
      <c r="M111" s="89"/>
      <c r="N111" s="89"/>
      <c r="O111" s="89"/>
      <c r="P111" s="89"/>
      <c r="Q111" s="89"/>
      <c r="R111" s="89"/>
      <c r="S111" s="89"/>
      <c r="T111" s="89"/>
    </row>
    <row r="112" spans="1:20" ht="83.45" customHeight="1">
      <c r="A112" s="75" t="s">
        <v>253</v>
      </c>
      <c r="B112" s="87"/>
      <c r="C112" s="87"/>
      <c r="D112" s="87"/>
      <c r="E112" s="87"/>
      <c r="F112" s="87"/>
      <c r="G112" s="87"/>
      <c r="H112" s="87"/>
      <c r="I112" s="87"/>
      <c r="J112" s="87"/>
      <c r="K112" s="87"/>
      <c r="L112" s="87"/>
      <c r="M112" s="87"/>
      <c r="N112" s="87"/>
      <c r="O112" s="87"/>
      <c r="P112" s="87"/>
      <c r="Q112" s="87"/>
      <c r="R112" s="87"/>
      <c r="S112" s="87"/>
      <c r="T112" s="87"/>
    </row>
    <row r="114" spans="1:20" ht="15.75" customHeight="1">
      <c r="A114" s="73" t="s">
        <v>28</v>
      </c>
      <c r="B114" s="87"/>
      <c r="C114" s="87"/>
      <c r="D114" s="87"/>
      <c r="E114" s="87"/>
      <c r="F114" s="87"/>
      <c r="G114" s="87"/>
      <c r="H114" s="87"/>
      <c r="I114" s="87"/>
      <c r="J114" s="87"/>
      <c r="K114" s="87"/>
      <c r="L114" s="87"/>
      <c r="M114" s="87"/>
      <c r="N114" s="87"/>
      <c r="O114" s="87"/>
      <c r="P114" s="87"/>
      <c r="Q114" s="87"/>
      <c r="R114" s="87"/>
      <c r="S114" s="87"/>
      <c r="T114" s="87"/>
    </row>
    <row r="115" spans="1:20" ht="54.95" customHeight="1">
      <c r="A115" s="35"/>
      <c r="B115" s="36" t="s">
        <v>27</v>
      </c>
      <c r="D115" s="36" t="s">
        <v>177</v>
      </c>
      <c r="F115" s="36" t="s">
        <v>201</v>
      </c>
      <c r="H115" s="36" t="s">
        <v>189</v>
      </c>
      <c r="J115" s="36" t="s">
        <v>165</v>
      </c>
      <c r="L115" s="37" t="s">
        <v>239</v>
      </c>
    </row>
    <row r="116" spans="1:20" ht="15" customHeight="1">
      <c r="A116" s="23" t="s">
        <v>112</v>
      </c>
      <c r="B116" s="40">
        <f>B30/B28</f>
        <v>0.75310678390203667</v>
      </c>
      <c r="D116" s="40">
        <f>F30/F28</f>
        <v>0.73202945368559047</v>
      </c>
      <c r="F116" s="40">
        <f>J30/J28</f>
        <v>0.74879051136659214</v>
      </c>
      <c r="H116" s="40">
        <f>N30/N28</f>
        <v>0.75232578550114093</v>
      </c>
      <c r="J116" s="40">
        <f>R30/R28</f>
        <v>0.7365012512530561</v>
      </c>
      <c r="L116" s="41">
        <f>AVERAGE(B116:J116)</f>
        <v>0.74455075714168328</v>
      </c>
    </row>
    <row r="117" spans="1:20" ht="15" customHeight="1">
      <c r="A117" s="23" t="s">
        <v>114</v>
      </c>
      <c r="B117" s="40">
        <f>B28/(B28+B35)</f>
        <v>0.96763154335181933</v>
      </c>
      <c r="D117" s="40">
        <f>F28/(F28+F35)</f>
        <v>0.97147958222160502</v>
      </c>
      <c r="F117" s="40">
        <f>J28/(J28+J35)</f>
        <v>0.98483528869306824</v>
      </c>
      <c r="H117" s="40">
        <f>N28/(N28+N35)</f>
        <v>0.98308886971527187</v>
      </c>
      <c r="J117" s="40">
        <f>R28/(R28+R35)</f>
        <v>0.98923450096311627</v>
      </c>
      <c r="L117" s="41">
        <f>AVERAGE(B117:J117)</f>
        <v>0.97925395698897622</v>
      </c>
    </row>
    <row r="118" spans="1:20" ht="15" customHeight="1">
      <c r="A118" s="23" t="s">
        <v>116</v>
      </c>
      <c r="B118" s="40">
        <f>(B28+B35)/B26</f>
        <v>0.14539954883462056</v>
      </c>
      <c r="D118" s="40">
        <f>(F28+F35)/F26</f>
        <v>0.17057522760226243</v>
      </c>
      <c r="F118" s="40">
        <f>(J28+J35)/J26</f>
        <v>0.15282769204268745</v>
      </c>
      <c r="H118" s="40">
        <f>(N28+N35)/N26</f>
        <v>0.14164548298787644</v>
      </c>
      <c r="J118" s="40">
        <f>(R28+R35)/R26</f>
        <v>0.18697535318826522</v>
      </c>
      <c r="L118" s="41">
        <f>AVERAGE(B118:J118)</f>
        <v>0.15948466093114239</v>
      </c>
    </row>
    <row r="119" spans="1:20" ht="15" customHeight="1">
      <c r="A119" s="23" t="s">
        <v>101</v>
      </c>
      <c r="B119" s="40">
        <f>B100</f>
        <v>1.2906600195327249</v>
      </c>
      <c r="D119" s="40">
        <f>D100</f>
        <v>1.12178216412422</v>
      </c>
      <c r="F119" s="40">
        <f>F100</f>
        <v>0.99017722853643031</v>
      </c>
      <c r="H119" s="40">
        <f>H100</f>
        <v>1.409640629845295</v>
      </c>
      <c r="J119" s="40">
        <f>J100</f>
        <v>0.98679613848587999</v>
      </c>
      <c r="L119" s="41">
        <f>AVERAGE(B119:J119)</f>
        <v>1.15981123610491</v>
      </c>
    </row>
    <row r="120" spans="1:20" ht="15" customHeight="1">
      <c r="A120" s="23" t="s">
        <v>103</v>
      </c>
      <c r="B120" s="40">
        <f>B101</f>
        <v>1.4746142256908379</v>
      </c>
      <c r="D120" s="40">
        <f>D101</f>
        <v>1.4136228829361555</v>
      </c>
      <c r="F120" s="40">
        <f>F101</f>
        <v>1.3140316114934216</v>
      </c>
      <c r="H120" s="40">
        <f>H101</f>
        <v>2.1839045863275519</v>
      </c>
      <c r="J120" s="40">
        <f>J101</f>
        <v>1.2641315878146491</v>
      </c>
      <c r="L120" s="41">
        <f>AVERAGE(B120:J120)</f>
        <v>1.5300609788525232</v>
      </c>
    </row>
    <row r="121" spans="1:20" ht="15" customHeight="1">
      <c r="A121" s="23" t="s">
        <v>120</v>
      </c>
      <c r="B121" s="40">
        <f>B116*B117*B118*B119*B120</f>
        <v>0.20166006943469678</v>
      </c>
      <c r="D121" s="40">
        <f>D116*D117*D118*D119*D120</f>
        <v>0.19236244551560497</v>
      </c>
      <c r="F121" s="40">
        <f>F116*F117*F118*F119*F120</f>
        <v>0.14663739487879546</v>
      </c>
      <c r="H121" s="40">
        <f>H116*H117*H118*H119*H120</f>
        <v>0.32251025245494569</v>
      </c>
      <c r="J121" s="40">
        <f>J116*J117*J118*J119*J120</f>
        <v>0.16993265026810933</v>
      </c>
      <c r="L121" s="41">
        <f>L116*L117*L118*L119*L120</f>
        <v>0.20635006757934402</v>
      </c>
    </row>
    <row r="122" spans="1:20" ht="15" customHeight="1">
      <c r="A122" s="23" t="s">
        <v>254</v>
      </c>
      <c r="B122" s="40">
        <f>B53</f>
        <v>0.20166006943469678</v>
      </c>
      <c r="D122" s="40">
        <f>D53</f>
        <v>0.19236244551560497</v>
      </c>
      <c r="F122" s="40">
        <f>F53</f>
        <v>0.14663739487879543</v>
      </c>
      <c r="H122" s="40">
        <f>H53</f>
        <v>0.32251025245494563</v>
      </c>
      <c r="J122" s="40">
        <f>J53</f>
        <v>0.16993265026810936</v>
      </c>
      <c r="L122" s="41">
        <f>AVERAGE(B122:J122)</f>
        <v>0.20662056251043043</v>
      </c>
    </row>
    <row r="123" spans="1:20" ht="15" customHeight="1">
      <c r="A123" s="42" t="s">
        <v>124</v>
      </c>
      <c r="B123" s="48">
        <f>B121-B122</f>
        <v>0</v>
      </c>
      <c r="D123" s="48">
        <f>D121-D122</f>
        <v>0</v>
      </c>
      <c r="F123" s="48">
        <f>F121-F122</f>
        <v>0</v>
      </c>
      <c r="H123" s="48">
        <f>H121-H122</f>
        <v>0</v>
      </c>
      <c r="J123" s="48">
        <f>J121-J122</f>
        <v>0</v>
      </c>
      <c r="L123" s="49">
        <f>L121-L122</f>
        <v>-2.7049493108641243E-4</v>
      </c>
    </row>
    <row r="125" spans="1:20" ht="15.75" customHeight="1">
      <c r="A125" s="73" t="s">
        <v>29</v>
      </c>
      <c r="B125" s="87"/>
      <c r="C125" s="87"/>
      <c r="D125" s="87"/>
      <c r="E125" s="87"/>
      <c r="F125" s="87"/>
      <c r="G125" s="87"/>
      <c r="H125" s="87"/>
      <c r="I125" s="87"/>
      <c r="J125" s="87"/>
      <c r="K125" s="87"/>
      <c r="L125" s="87"/>
      <c r="M125" s="87"/>
      <c r="N125" s="87"/>
      <c r="O125" s="87"/>
      <c r="P125" s="87"/>
      <c r="Q125" s="87"/>
      <c r="R125" s="87"/>
      <c r="S125" s="87"/>
      <c r="T125" s="87"/>
    </row>
    <row r="126" spans="1:20" ht="54.95" customHeight="1">
      <c r="A126" s="35"/>
      <c r="B126" s="36" t="s">
        <v>27</v>
      </c>
      <c r="D126" s="36" t="s">
        <v>177</v>
      </c>
      <c r="F126" s="36" t="s">
        <v>201</v>
      </c>
      <c r="H126" s="36" t="s">
        <v>189</v>
      </c>
      <c r="J126" s="36" t="s">
        <v>165</v>
      </c>
      <c r="L126" s="37" t="s">
        <v>239</v>
      </c>
    </row>
    <row r="127" spans="1:20" ht="15" customHeight="1">
      <c r="A127" s="23" t="s">
        <v>112</v>
      </c>
      <c r="B127" s="40">
        <f>D30/D28</f>
        <v>0.76181669007523189</v>
      </c>
      <c r="D127" s="40">
        <f>H30/H28</f>
        <v>0.74022778010325097</v>
      </c>
      <c r="F127" s="40">
        <f>L30/L28</f>
        <v>0.74455881599836116</v>
      </c>
      <c r="H127" s="40">
        <f>P30/P28</f>
        <v>0.83389137713614825</v>
      </c>
      <c r="J127" s="40">
        <f>T30/T28</f>
        <v>0.73949248994881955</v>
      </c>
      <c r="L127" s="41">
        <f>AVERAGE(B127:J127)</f>
        <v>0.76399743065236247</v>
      </c>
    </row>
    <row r="128" spans="1:20" ht="15" customHeight="1">
      <c r="A128" s="23" t="s">
        <v>114</v>
      </c>
      <c r="B128" s="40">
        <f>D28/(D28+D35)</f>
        <v>0.96926850965750566</v>
      </c>
      <c r="D128" s="40">
        <f>H28/(H28+H35)</f>
        <v>0.97827144063675675</v>
      </c>
      <c r="F128" s="40">
        <f>L28/(L28+L35)</f>
        <v>0.98790852979864419</v>
      </c>
      <c r="H128" s="40">
        <f>P28/(P28+P35)</f>
        <v>0.99476598321654131</v>
      </c>
      <c r="J128" s="40">
        <f>T28/(T28+T35)</f>
        <v>0.9785085568863674</v>
      </c>
      <c r="L128" s="41">
        <f>AVERAGE(B128:J128)</f>
        <v>0.98174460403916297</v>
      </c>
    </row>
    <row r="129" spans="1:20" ht="15" customHeight="1">
      <c r="A129" s="23" t="s">
        <v>116</v>
      </c>
      <c r="B129" s="40">
        <f>(D28+D35)/D26</f>
        <v>0.14239978503085382</v>
      </c>
      <c r="D129" s="40">
        <f>(H28+H35)/H26</f>
        <v>0.19047933211740989</v>
      </c>
      <c r="F129" s="40">
        <f>(L28+L35)/L26</f>
        <v>0.14860313355186</v>
      </c>
      <c r="H129" s="40">
        <f>(P28+P35)/P26</f>
        <v>0.64230940208935317</v>
      </c>
      <c r="J129" s="40">
        <f>(T28+T35)/T26</f>
        <v>0.11068542994587317</v>
      </c>
      <c r="L129" s="41">
        <f>AVERAGE(B129:J129)</f>
        <v>0.24689541654707003</v>
      </c>
    </row>
    <row r="130" spans="1:20" ht="15" customHeight="1">
      <c r="A130" s="23" t="s">
        <v>101</v>
      </c>
      <c r="B130" s="40">
        <f>B107</f>
        <v>1.2171087403804657</v>
      </c>
      <c r="D130" s="40">
        <f>D107</f>
        <v>1.0846283498865035</v>
      </c>
      <c r="F130" s="40">
        <f>F107</f>
        <v>0.90864501144242915</v>
      </c>
      <c r="H130" s="40">
        <f>H107</f>
        <v>1.0857315233785823</v>
      </c>
      <c r="J130" s="40">
        <f>J107</f>
        <v>0.93764353037316217</v>
      </c>
      <c r="L130" s="41">
        <f>AVERAGE(B130:J130)</f>
        <v>1.0467514310922286</v>
      </c>
    </row>
    <row r="131" spans="1:20" ht="15" customHeight="1">
      <c r="A131" s="23" t="s">
        <v>103</v>
      </c>
      <c r="B131" s="40">
        <f>B108</f>
        <v>1.4240491485334283</v>
      </c>
      <c r="D131" s="40">
        <f>D108</f>
        <v>1.426815363444875</v>
      </c>
      <c r="F131" s="40">
        <f>F108</f>
        <v>1.31258154037902</v>
      </c>
      <c r="H131" s="40">
        <f>H108</f>
        <v>1.7808697520749954</v>
      </c>
      <c r="J131" s="40">
        <f>J108</f>
        <v>1.2638056959118054</v>
      </c>
      <c r="L131" s="41">
        <f>AVERAGE(B131:J131)</f>
        <v>1.4416243000688247</v>
      </c>
    </row>
    <row r="132" spans="1:20" ht="15" customHeight="1">
      <c r="A132" s="23" t="s">
        <v>120</v>
      </c>
      <c r="B132" s="40">
        <f>B127*B128*B129*B130*B131</f>
        <v>0.18224611525653783</v>
      </c>
      <c r="D132" s="40">
        <f>D127*D128*D129*D130*D131</f>
        <v>0.21346237800842149</v>
      </c>
      <c r="F132" s="40">
        <f>F127*F128*F129*F130*F131</f>
        <v>0.13036597339598024</v>
      </c>
      <c r="H132" s="40">
        <f>H127*H128*H129*H130*H131</f>
        <v>1.0302183781460692</v>
      </c>
      <c r="J132" s="40">
        <f>J127*J128*J129*J130*J131</f>
        <v>9.4908896034297974E-2</v>
      </c>
      <c r="L132" s="41">
        <f>L127*L128*L129*L130*L131</f>
        <v>0.27944677766678511</v>
      </c>
    </row>
    <row r="133" spans="1:20" ht="15" customHeight="1">
      <c r="A133" s="23" t="s">
        <v>254</v>
      </c>
      <c r="B133" s="40">
        <f>B65</f>
        <v>0.18224611525653781</v>
      </c>
      <c r="D133" s="40">
        <f>D65</f>
        <v>0.21346237800842147</v>
      </c>
      <c r="F133" s="40">
        <f>F65</f>
        <v>0.13036597339598024</v>
      </c>
      <c r="H133" s="40">
        <f>H65</f>
        <v>1.030218378146069</v>
      </c>
      <c r="J133" s="40">
        <f>J65</f>
        <v>9.4908896034297974E-2</v>
      </c>
      <c r="L133" s="41">
        <f>AVERAGE(B133:J133)</f>
        <v>0.33024034816826131</v>
      </c>
    </row>
    <row r="134" spans="1:20" ht="15" customHeight="1">
      <c r="A134" s="42" t="s">
        <v>124</v>
      </c>
      <c r="B134" s="48">
        <f>B132-B133</f>
        <v>0</v>
      </c>
      <c r="D134" s="48">
        <f>D132-D133</f>
        <v>0</v>
      </c>
      <c r="F134" s="48">
        <f>F132-F133</f>
        <v>0</v>
      </c>
      <c r="H134" s="48">
        <f>H132-H133</f>
        <v>0</v>
      </c>
      <c r="J134" s="48">
        <f>J132-J133</f>
        <v>0</v>
      </c>
      <c r="L134" s="49">
        <f>L132-L133</f>
        <v>-5.0793570501476204E-2</v>
      </c>
    </row>
    <row r="136" spans="1:20" ht="15" customHeight="1">
      <c r="A136" s="92" t="s">
        <v>255</v>
      </c>
      <c r="B136" s="87"/>
      <c r="C136" s="87"/>
      <c r="D136" s="87"/>
      <c r="E136" s="87"/>
      <c r="F136" s="87"/>
      <c r="G136" s="87"/>
      <c r="H136" s="87"/>
      <c r="I136" s="87"/>
      <c r="J136" s="87"/>
      <c r="K136" s="87"/>
      <c r="L136" s="87"/>
      <c r="M136" s="87"/>
      <c r="N136" s="87"/>
      <c r="O136" s="87"/>
      <c r="P136" s="87"/>
      <c r="Q136" s="87"/>
      <c r="R136" s="87"/>
      <c r="S136" s="87"/>
      <c r="T136" s="87"/>
    </row>
    <row r="137" spans="1:20" ht="190.35" customHeight="1">
      <c r="A137" s="70" t="s">
        <v>256</v>
      </c>
      <c r="B137" s="87"/>
      <c r="C137" s="87"/>
      <c r="D137" s="87"/>
      <c r="E137" s="87"/>
      <c r="F137" s="87"/>
      <c r="G137" s="87"/>
      <c r="H137" s="87"/>
      <c r="I137" s="87"/>
      <c r="J137" s="87"/>
      <c r="K137" s="87"/>
      <c r="L137" s="87"/>
      <c r="M137" s="87"/>
      <c r="N137" s="87"/>
      <c r="O137" s="87"/>
      <c r="P137" s="87"/>
      <c r="Q137" s="87"/>
      <c r="R137" s="87"/>
      <c r="S137" s="87"/>
      <c r="T137" s="87"/>
    </row>
    <row r="141" spans="1:20" ht="23.85" customHeight="1">
      <c r="A141" s="71" t="s">
        <v>257</v>
      </c>
      <c r="B141" s="89"/>
      <c r="C141" s="89"/>
      <c r="D141" s="89"/>
      <c r="E141" s="89"/>
      <c r="F141" s="89"/>
      <c r="G141" s="89"/>
      <c r="H141" s="89"/>
      <c r="I141" s="89"/>
      <c r="J141" s="89"/>
      <c r="K141" s="89"/>
      <c r="L141" s="89"/>
      <c r="M141" s="89"/>
      <c r="N141" s="89"/>
      <c r="O141" s="89"/>
      <c r="P141" s="89"/>
      <c r="Q141" s="89"/>
      <c r="R141" s="89"/>
      <c r="S141" s="89"/>
      <c r="T141" s="89"/>
    </row>
    <row r="142" spans="1:20" ht="18.95" customHeight="1">
      <c r="A142" s="70" t="s">
        <v>258</v>
      </c>
      <c r="B142" s="87"/>
      <c r="C142" s="87"/>
      <c r="D142" s="87"/>
      <c r="E142" s="87"/>
      <c r="F142" s="87"/>
      <c r="G142" s="87"/>
      <c r="H142" s="87"/>
      <c r="I142" s="87"/>
      <c r="J142" s="87"/>
      <c r="K142" s="87"/>
      <c r="L142" s="87"/>
      <c r="M142" s="87"/>
      <c r="N142" s="87"/>
      <c r="O142" s="87"/>
      <c r="P142" s="87"/>
      <c r="Q142" s="87"/>
      <c r="R142" s="87"/>
      <c r="S142" s="87"/>
      <c r="T142" s="87"/>
    </row>
    <row r="144" spans="1:20" ht="18" customHeight="1">
      <c r="A144" s="47" t="s">
        <v>259</v>
      </c>
    </row>
    <row r="163" spans="1:20" ht="84" customHeight="1">
      <c r="A163" s="70" t="s">
        <v>260</v>
      </c>
      <c r="B163" s="87"/>
      <c r="C163" s="87"/>
      <c r="D163" s="87"/>
      <c r="E163" s="87"/>
      <c r="F163" s="87"/>
      <c r="G163" s="87"/>
      <c r="H163" s="87"/>
      <c r="I163" s="87"/>
      <c r="J163" s="87"/>
      <c r="K163" s="87"/>
      <c r="L163" s="87"/>
      <c r="M163" s="87"/>
      <c r="N163" s="87"/>
      <c r="O163" s="87"/>
      <c r="P163" s="87"/>
      <c r="Q163" s="87"/>
      <c r="R163" s="87"/>
      <c r="S163" s="87"/>
      <c r="T163" s="87"/>
    </row>
    <row r="165" spans="1:20" ht="18" customHeight="1">
      <c r="A165" s="47" t="s">
        <v>261</v>
      </c>
    </row>
    <row r="184" spans="1:20" ht="84" customHeight="1">
      <c r="A184" s="70" t="s">
        <v>262</v>
      </c>
      <c r="B184" s="87"/>
      <c r="C184" s="87"/>
      <c r="D184" s="87"/>
      <c r="E184" s="87"/>
      <c r="F184" s="87"/>
      <c r="G184" s="87"/>
      <c r="H184" s="87"/>
      <c r="I184" s="87"/>
      <c r="J184" s="87"/>
      <c r="K184" s="87"/>
      <c r="L184" s="87"/>
      <c r="M184" s="87"/>
      <c r="N184" s="87"/>
      <c r="O184" s="87"/>
      <c r="P184" s="87"/>
      <c r="Q184" s="87"/>
      <c r="R184" s="87"/>
      <c r="S184" s="87"/>
      <c r="T184" s="87"/>
    </row>
    <row r="186" spans="1:20" ht="18" customHeight="1">
      <c r="A186" s="47" t="s">
        <v>263</v>
      </c>
    </row>
    <row r="205" spans="1:20" ht="71.099999999999994" customHeight="1">
      <c r="A205" s="70" t="s">
        <v>264</v>
      </c>
      <c r="B205" s="87"/>
      <c r="C205" s="87"/>
      <c r="D205" s="87"/>
      <c r="E205" s="87"/>
      <c r="F205" s="87"/>
      <c r="G205" s="87"/>
      <c r="H205" s="87"/>
      <c r="I205" s="87"/>
      <c r="J205" s="87"/>
      <c r="K205" s="87"/>
      <c r="L205" s="87"/>
      <c r="M205" s="87"/>
      <c r="N205" s="87"/>
      <c r="O205" s="87"/>
      <c r="P205" s="87"/>
      <c r="Q205" s="87"/>
      <c r="R205" s="87"/>
      <c r="S205" s="87"/>
      <c r="T205" s="87"/>
    </row>
    <row r="207" spans="1:20" ht="18" customHeight="1">
      <c r="A207" s="47" t="s">
        <v>265</v>
      </c>
    </row>
    <row r="208" spans="1:20" ht="110.1" customHeight="1">
      <c r="A208" s="70" t="s">
        <v>266</v>
      </c>
      <c r="B208" s="87"/>
      <c r="C208" s="87"/>
      <c r="D208" s="87"/>
      <c r="E208" s="87"/>
      <c r="F208" s="87"/>
      <c r="G208" s="87"/>
      <c r="H208" s="87"/>
      <c r="I208" s="87"/>
      <c r="J208" s="87"/>
      <c r="K208" s="87"/>
      <c r="L208" s="87"/>
      <c r="M208" s="87"/>
      <c r="N208" s="87"/>
      <c r="O208" s="87"/>
      <c r="P208" s="87"/>
      <c r="Q208" s="87"/>
      <c r="R208" s="87"/>
      <c r="S208" s="87"/>
      <c r="T208" s="87"/>
    </row>
  </sheetData>
  <mergeCells count="44">
    <mergeCell ref="A125:T125"/>
    <mergeCell ref="F12:H12"/>
    <mergeCell ref="A112:T112"/>
    <mergeCell ref="A114:T114"/>
    <mergeCell ref="B10:D10"/>
    <mergeCell ref="N10:P10"/>
    <mergeCell ref="A70:T70"/>
    <mergeCell ref="A88:T92"/>
    <mergeCell ref="A137:T137"/>
    <mergeCell ref="N12:P12"/>
    <mergeCell ref="A111:T111"/>
    <mergeCell ref="A9:T9"/>
    <mergeCell ref="A3:T4"/>
    <mergeCell ref="R12:T12"/>
    <mergeCell ref="A95:T96"/>
    <mergeCell ref="A6:T6"/>
    <mergeCell ref="J12:L12"/>
    <mergeCell ref="A84:T84"/>
    <mergeCell ref="A136:T136"/>
    <mergeCell ref="A104:T104"/>
    <mergeCell ref="A97:T97"/>
    <mergeCell ref="A7:T7"/>
    <mergeCell ref="A71:T71"/>
    <mergeCell ref="A42:T42"/>
    <mergeCell ref="A1:T1"/>
    <mergeCell ref="A94:T94"/>
    <mergeCell ref="A78:T78"/>
    <mergeCell ref="A87:T87"/>
    <mergeCell ref="A46:T46"/>
    <mergeCell ref="A44:T45"/>
    <mergeCell ref="J10:L10"/>
    <mergeCell ref="A43:T43"/>
    <mergeCell ref="B12:D12"/>
    <mergeCell ref="F10:H10"/>
    <mergeCell ref="R10:T10"/>
    <mergeCell ref="A58:T58"/>
    <mergeCell ref="A73:T73"/>
    <mergeCell ref="A2:T2"/>
    <mergeCell ref="A208:T208"/>
    <mergeCell ref="A141:T141"/>
    <mergeCell ref="A142:T142"/>
    <mergeCell ref="A163:T163"/>
    <mergeCell ref="A184:T184"/>
    <mergeCell ref="A205:T205"/>
  </mergeCells>
  <pageMargins left="0.4" right="0.4" top="0.5" bottom="0.5" header="0.25" footer="0.25"/>
  <pageSetup paperSize="9" scale="66" orientation="landscape" horizontalDpi="300" verticalDpi="300"/>
  <headerFooter>
    <oddHeader>&amp;L&amp;"Times New Roman,Bold"&amp;9 FAA Major Project - Indian Paints Industry&amp;R&amp;"Times New Roman,Regular"&amp;9 &amp;A</oddHeader>
    <oddFooter>&amp;L&amp;"Times New Roman,Regular"&amp;8 Standalone, ₹ Crore&amp;C&amp;"Times New Roman,Regular"&amp;8 Page &amp;P of &amp;N</oddFooter>
  </headerFooter>
  <rowBreaks count="3" manualBreakCount="3">
    <brk id="140" max="16383" man="1"/>
    <brk id="164" max="16383" man="1"/>
    <brk id="185"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ca3c53-6d54-48bd-b3e2-424029bc1afb">
      <Terms xmlns="http://schemas.microsoft.com/office/infopath/2007/PartnerControls"/>
    </lcf76f155ced4ddcb4097134ff3c332f>
    <TaxCatchAll xmlns="3ca841db-7393-41e1-a15e-9a938065ba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D34DAA9DBD904CA95EDA815F13EF83" ma:contentTypeVersion="9" ma:contentTypeDescription="Create a new document." ma:contentTypeScope="" ma:versionID="819fac29ebb5e1129c860d70a645330b">
  <xsd:schema xmlns:xsd="http://www.w3.org/2001/XMLSchema" xmlns:xs="http://www.w3.org/2001/XMLSchema" xmlns:p="http://schemas.microsoft.com/office/2006/metadata/properties" xmlns:ns2="7eca3c53-6d54-48bd-b3e2-424029bc1afb" xmlns:ns3="3ca841db-7393-41e1-a15e-9a938065ba81" targetNamespace="http://schemas.microsoft.com/office/2006/metadata/properties" ma:root="true" ma:fieldsID="8f0fd8b74bc41640ed24e4fe8968bcd6" ns2:_="" ns3:_="">
    <xsd:import namespace="7eca3c53-6d54-48bd-b3e2-424029bc1afb"/>
    <xsd:import namespace="3ca841db-7393-41e1-a15e-9a938065ba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ca3c53-6d54-48bd-b3e2-424029bc1a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65a431-9415-4219-9cd0-5363948861b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a841db-7393-41e1-a15e-9a938065ba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4a85d64-2861-477b-8c67-427d540c97a3}" ma:internalName="TaxCatchAll" ma:showField="CatchAllData" ma:web="3ca841db-7393-41e1-a15e-9a938065ba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EFC6A8-E71B-4D26-8177-8661C0787E06}"/>
</file>

<file path=customXml/itemProps2.xml><?xml version="1.0" encoding="utf-8"?>
<ds:datastoreItem xmlns:ds="http://schemas.openxmlformats.org/officeDocument/2006/customXml" ds:itemID="{F3ACE4C3-C5A3-40A8-8EC6-8935F9AD334C}"/>
</file>

<file path=customXml/itemProps3.xml><?xml version="1.0" encoding="utf-8"?>
<ds:datastoreItem xmlns:ds="http://schemas.openxmlformats.org/officeDocument/2006/customXml" ds:itemID="{BB85971D-9744-41CF-A4EE-94A6D8E098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soni</dc:creator>
  <cp:keywords/>
  <dc:description/>
  <cp:lastModifiedBy>ARNAV RATHOD - 70512300002</cp:lastModifiedBy>
  <cp:revision>1</cp:revision>
  <dcterms:created xsi:type="dcterms:W3CDTF">2026-10-12T11:50:35Z</dcterms:created>
  <dcterms:modified xsi:type="dcterms:W3CDTF">2026-10-15T18:18:29Z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0x010100A3D34DAA9DBD904CA95EDA815F13EF83</vt:lpwstr>
  </property>
  <property fmtid="{D5CDD505-2E9C-101B-9397-08002B2CF9AE}" pid="3" name="MediaServiceImageTags">
    <vt:lpwstr/>
  </property>
</Properties>
</file>